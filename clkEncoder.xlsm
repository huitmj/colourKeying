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8595" windowHeight="11310"/>
  </bookViews>
  <sheets>
    <sheet name="Dev" sheetId="1" r:id="rId1"/>
    <sheet name="Tx" sheetId="3" r:id="rId2"/>
    <sheet name="Rx" sheetId="2" r:id="rId3"/>
  </sheets>
  <functionGroups builtInGroupCount="17"/>
  <definedNames>
    <definedName name="background">GET.CELL(63,OFFSET(INDIRECT("RC",FALSE),-1,0))</definedName>
  </definedNames>
  <calcPr calcId="145621"/>
</workbook>
</file>

<file path=xl/calcChain.xml><?xml version="1.0" encoding="utf-8"?>
<calcChain xmlns="http://schemas.openxmlformats.org/spreadsheetml/2006/main">
  <c r="N168" i="2" l="1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162" i="2"/>
  <c r="N163" i="2"/>
  <c r="N164" i="2"/>
  <c r="N165" i="2"/>
  <c r="N166" i="2"/>
  <c r="N167" i="2"/>
  <c r="E168" i="2"/>
  <c r="G168" i="2" s="1"/>
  <c r="E169" i="2"/>
  <c r="G169" i="2" s="1"/>
  <c r="E170" i="2"/>
  <c r="G170" i="2" s="1"/>
  <c r="E171" i="2"/>
  <c r="G171" i="2" s="1"/>
  <c r="E172" i="2"/>
  <c r="G172" i="2" s="1"/>
  <c r="E173" i="2"/>
  <c r="G173" i="2" s="1"/>
  <c r="E174" i="2"/>
  <c r="G174" i="2" s="1"/>
  <c r="E175" i="2"/>
  <c r="G175" i="2" s="1"/>
  <c r="E176" i="2"/>
  <c r="G176" i="2" s="1"/>
  <c r="E177" i="2"/>
  <c r="G177" i="2" s="1"/>
  <c r="E178" i="2"/>
  <c r="G178" i="2" s="1"/>
  <c r="E179" i="2"/>
  <c r="G179" i="2" s="1"/>
  <c r="E180" i="2"/>
  <c r="G180" i="2" s="1"/>
  <c r="E181" i="2"/>
  <c r="G181" i="2" s="1"/>
  <c r="E182" i="2"/>
  <c r="G182" i="2" s="1"/>
  <c r="E183" i="2"/>
  <c r="G183" i="2" s="1"/>
  <c r="E184" i="2"/>
  <c r="G184" i="2" s="1"/>
  <c r="E185" i="2"/>
  <c r="G185" i="2" s="1"/>
  <c r="E186" i="2"/>
  <c r="G186" i="2" s="1"/>
  <c r="E187" i="2"/>
  <c r="G187" i="2" s="1"/>
  <c r="E188" i="2"/>
  <c r="G188" i="2" s="1"/>
  <c r="E189" i="2"/>
  <c r="G189" i="2"/>
  <c r="E190" i="2"/>
  <c r="G190" i="2" s="1"/>
  <c r="E191" i="2"/>
  <c r="G191" i="2"/>
  <c r="E192" i="2"/>
  <c r="G192" i="2" s="1"/>
  <c r="E193" i="2"/>
  <c r="G193" i="2"/>
  <c r="E194" i="2"/>
  <c r="G194" i="2" s="1"/>
  <c r="E195" i="2"/>
  <c r="G195" i="2"/>
  <c r="E196" i="2"/>
  <c r="G196" i="2" s="1"/>
  <c r="E197" i="2"/>
  <c r="G197" i="2"/>
  <c r="E198" i="2"/>
  <c r="G198" i="2" s="1"/>
  <c r="E199" i="2"/>
  <c r="G199" i="2"/>
  <c r="E200" i="2"/>
  <c r="G200" i="2" s="1"/>
  <c r="E201" i="2"/>
  <c r="G201" i="2"/>
  <c r="E202" i="2"/>
  <c r="G202" i="2" s="1"/>
  <c r="E203" i="2"/>
  <c r="G203" i="2"/>
  <c r="E204" i="2"/>
  <c r="G204" i="2" s="1"/>
  <c r="E205" i="2"/>
  <c r="G205" i="2"/>
  <c r="E206" i="2"/>
  <c r="G206" i="2" s="1"/>
  <c r="E207" i="2"/>
  <c r="G207" i="2"/>
  <c r="E208" i="2"/>
  <c r="G208" i="2" s="1"/>
  <c r="E209" i="2"/>
  <c r="G209" i="2"/>
  <c r="E210" i="2"/>
  <c r="G210" i="2" s="1"/>
  <c r="E211" i="2"/>
  <c r="G211" i="2" s="1"/>
  <c r="E212" i="2"/>
  <c r="G212" i="2" s="1"/>
  <c r="E213" i="2"/>
  <c r="G213" i="2" s="1"/>
  <c r="E214" i="2"/>
  <c r="G214" i="2" s="1"/>
  <c r="E215" i="2"/>
  <c r="G215" i="2" s="1"/>
  <c r="E216" i="2"/>
  <c r="G216" i="2" s="1"/>
  <c r="E217" i="2"/>
  <c r="G217" i="2" s="1"/>
  <c r="E218" i="2"/>
  <c r="G218" i="2" s="1"/>
  <c r="E219" i="2"/>
  <c r="G219" i="2" s="1"/>
  <c r="E220" i="2"/>
  <c r="G220" i="2" s="1"/>
  <c r="E221" i="2"/>
  <c r="G221" i="2" s="1"/>
  <c r="E222" i="2"/>
  <c r="G222" i="2" s="1"/>
  <c r="E223" i="2"/>
  <c r="G223" i="2" s="1"/>
  <c r="E224" i="2"/>
  <c r="G224" i="2" s="1"/>
  <c r="E225" i="2"/>
  <c r="G225" i="2" s="1"/>
  <c r="E226" i="2"/>
  <c r="G226" i="2" s="1"/>
  <c r="E227" i="2"/>
  <c r="G227" i="2" s="1"/>
  <c r="E228" i="2"/>
  <c r="G228" i="2" s="1"/>
  <c r="E229" i="2"/>
  <c r="G229" i="2" s="1"/>
  <c r="E230" i="2"/>
  <c r="G230" i="2" s="1"/>
  <c r="E231" i="2"/>
  <c r="G231" i="2" s="1"/>
  <c r="E232" i="2"/>
  <c r="G232" i="2" s="1"/>
  <c r="E233" i="2"/>
  <c r="G233" i="2" s="1"/>
  <c r="E234" i="2"/>
  <c r="G234" i="2" s="1"/>
  <c r="E235" i="2"/>
  <c r="G235" i="2" s="1"/>
  <c r="E236" i="2"/>
  <c r="G236" i="2" s="1"/>
  <c r="E237" i="2"/>
  <c r="G237" i="2" s="1"/>
  <c r="E238" i="2"/>
  <c r="G238" i="2" s="1"/>
  <c r="E239" i="2"/>
  <c r="G239" i="2" s="1"/>
  <c r="E240" i="2"/>
  <c r="G240" i="2" s="1"/>
  <c r="E241" i="2"/>
  <c r="G241" i="2" s="1"/>
  <c r="E242" i="2"/>
  <c r="G242" i="2" s="1"/>
  <c r="E243" i="2"/>
  <c r="G243" i="2" s="1"/>
  <c r="E244" i="2"/>
  <c r="G244" i="2" s="1"/>
  <c r="E245" i="2"/>
  <c r="G245" i="2" s="1"/>
  <c r="E246" i="2"/>
  <c r="G246" i="2" s="1"/>
  <c r="E247" i="2"/>
  <c r="G247" i="2" s="1"/>
  <c r="E248" i="2"/>
  <c r="G248" i="2"/>
  <c r="E249" i="2"/>
  <c r="G249" i="2" s="1"/>
  <c r="E250" i="2"/>
  <c r="G250" i="2"/>
  <c r="E251" i="2"/>
  <c r="G251" i="2" s="1"/>
  <c r="E252" i="2"/>
  <c r="G252" i="2" s="1"/>
  <c r="E253" i="2"/>
  <c r="G253" i="2" s="1"/>
  <c r="E254" i="2"/>
  <c r="G254" i="2" s="1"/>
  <c r="E255" i="2"/>
  <c r="G255" i="2" s="1"/>
  <c r="E256" i="2"/>
  <c r="G256" i="2"/>
  <c r="E257" i="2"/>
  <c r="G257" i="2" s="1"/>
  <c r="E258" i="2"/>
  <c r="G258" i="2"/>
  <c r="E259" i="2"/>
  <c r="G259" i="2" s="1"/>
  <c r="E260" i="2"/>
  <c r="G260" i="2" s="1"/>
  <c r="E261" i="2"/>
  <c r="G261" i="2" s="1"/>
  <c r="E262" i="2"/>
  <c r="G262" i="2" s="1"/>
  <c r="E263" i="2"/>
  <c r="G263" i="2" s="1"/>
  <c r="E264" i="2"/>
  <c r="G264" i="2"/>
  <c r="E265" i="2"/>
  <c r="G265" i="2" s="1"/>
  <c r="E266" i="2"/>
  <c r="G266" i="2"/>
  <c r="E267" i="2"/>
  <c r="G267" i="2" s="1"/>
  <c r="E268" i="2"/>
  <c r="G268" i="2" s="1"/>
  <c r="E269" i="2"/>
  <c r="G269" i="2" s="1"/>
  <c r="E270" i="2"/>
  <c r="G270" i="2" s="1"/>
  <c r="E271" i="2"/>
  <c r="G271" i="2" s="1"/>
  <c r="E272" i="2"/>
  <c r="G272" i="2"/>
  <c r="E273" i="2"/>
  <c r="G273" i="2" s="1"/>
  <c r="E274" i="2"/>
  <c r="G274" i="2" s="1"/>
  <c r="E275" i="2"/>
  <c r="G275" i="2" s="1"/>
  <c r="E276" i="2"/>
  <c r="G276" i="2" s="1"/>
  <c r="E277" i="2"/>
  <c r="G277" i="2" s="1"/>
  <c r="E278" i="2"/>
  <c r="G278" i="2" s="1"/>
  <c r="E279" i="2"/>
  <c r="G279" i="2" s="1"/>
  <c r="E280" i="2"/>
  <c r="G280" i="2" s="1"/>
  <c r="E281" i="2"/>
  <c r="G281" i="2" s="1"/>
  <c r="E282" i="2"/>
  <c r="G282" i="2" s="1"/>
  <c r="E283" i="2"/>
  <c r="G283" i="2" s="1"/>
  <c r="E284" i="2"/>
  <c r="G284" i="2" s="1"/>
  <c r="E285" i="2"/>
  <c r="G285" i="2" s="1"/>
  <c r="E286" i="2"/>
  <c r="G286" i="2" s="1"/>
  <c r="E287" i="2"/>
  <c r="G287" i="2" s="1"/>
  <c r="E288" i="2"/>
  <c r="G288" i="2" s="1"/>
  <c r="E289" i="2"/>
  <c r="G289" i="2" s="1"/>
  <c r="E290" i="2"/>
  <c r="G290" i="2" s="1"/>
  <c r="E291" i="2"/>
  <c r="G291" i="2" s="1"/>
  <c r="E292" i="2"/>
  <c r="G292" i="2" s="1"/>
  <c r="E293" i="2"/>
  <c r="G293" i="2" s="1"/>
  <c r="E294" i="2"/>
  <c r="G294" i="2" s="1"/>
  <c r="E295" i="2"/>
  <c r="G295" i="2" s="1"/>
  <c r="E296" i="2"/>
  <c r="G296" i="2" s="1"/>
  <c r="E297" i="2"/>
  <c r="G297" i="2" s="1"/>
  <c r="E298" i="2"/>
  <c r="G298" i="2" s="1"/>
  <c r="E299" i="2"/>
  <c r="G299" i="2" s="1"/>
  <c r="E300" i="2"/>
  <c r="G300" i="2" s="1"/>
  <c r="E301" i="2"/>
  <c r="G301" i="2" s="1"/>
  <c r="E302" i="2"/>
  <c r="G302" i="2" s="1"/>
  <c r="E303" i="2"/>
  <c r="G303" i="2" s="1"/>
  <c r="E304" i="2"/>
  <c r="G304" i="2" s="1"/>
  <c r="E305" i="2"/>
  <c r="G305" i="2" s="1"/>
  <c r="E306" i="2"/>
  <c r="G306" i="2" s="1"/>
  <c r="E307" i="2"/>
  <c r="G307" i="2" s="1"/>
  <c r="E308" i="2"/>
  <c r="G308" i="2" s="1"/>
  <c r="E309" i="2"/>
  <c r="G309" i="2" s="1"/>
  <c r="E310" i="2"/>
  <c r="G310" i="2" s="1"/>
  <c r="E311" i="2"/>
  <c r="G311" i="2" s="1"/>
  <c r="E312" i="2"/>
  <c r="G312" i="2" s="1"/>
  <c r="E313" i="2"/>
  <c r="G313" i="2" s="1"/>
  <c r="E314" i="2"/>
  <c r="G314" i="2" s="1"/>
  <c r="E315" i="2"/>
  <c r="G315" i="2" s="1"/>
  <c r="E316" i="2"/>
  <c r="G316" i="2" s="1"/>
  <c r="E317" i="2"/>
  <c r="G317" i="2" s="1"/>
  <c r="E318" i="2"/>
  <c r="G318" i="2" s="1"/>
  <c r="E319" i="2"/>
  <c r="G319" i="2"/>
  <c r="E320" i="2"/>
  <c r="G320" i="2"/>
  <c r="E321" i="2"/>
  <c r="G321" i="2"/>
  <c r="E322" i="2"/>
  <c r="G322" i="2"/>
  <c r="E323" i="2"/>
  <c r="G323" i="2"/>
  <c r="E324" i="2"/>
  <c r="G324" i="2"/>
  <c r="E325" i="2"/>
  <c r="G325" i="2"/>
  <c r="E326" i="2"/>
  <c r="G326" i="2"/>
  <c r="E327" i="2"/>
  <c r="G327" i="2"/>
  <c r="E328" i="2"/>
  <c r="G328" i="2"/>
  <c r="E329" i="2"/>
  <c r="G329" i="2"/>
  <c r="E330" i="2"/>
  <c r="G330" i="2"/>
  <c r="E331" i="2"/>
  <c r="G331" i="2"/>
  <c r="E332" i="2"/>
  <c r="G332" i="2"/>
  <c r="E333" i="2"/>
  <c r="G333" i="2"/>
  <c r="E334" i="2"/>
  <c r="G334" i="2"/>
  <c r="E335" i="2"/>
  <c r="G335" i="2"/>
  <c r="E336" i="2"/>
  <c r="G336" i="2"/>
  <c r="E337" i="2"/>
  <c r="G337" i="2"/>
  <c r="E338" i="2"/>
  <c r="G338" i="2"/>
  <c r="E339" i="2"/>
  <c r="G339" i="2"/>
  <c r="E340" i="2"/>
  <c r="G340" i="2"/>
  <c r="E341" i="2"/>
  <c r="G341" i="2"/>
  <c r="E342" i="2"/>
  <c r="G342" i="2"/>
  <c r="E343" i="2"/>
  <c r="G343" i="2"/>
  <c r="E344" i="2"/>
  <c r="G344" i="2"/>
  <c r="E345" i="2"/>
  <c r="G345" i="2"/>
  <c r="E346" i="2"/>
  <c r="G346" i="2"/>
  <c r="E347" i="2"/>
  <c r="G347" i="2"/>
  <c r="E348" i="2"/>
  <c r="G348" i="2"/>
  <c r="E349" i="2"/>
  <c r="G349" i="2"/>
  <c r="E350" i="2"/>
  <c r="G350" i="2"/>
  <c r="E351" i="2"/>
  <c r="G351" i="2"/>
  <c r="E352" i="2"/>
  <c r="G352" i="2"/>
  <c r="E353" i="2"/>
  <c r="G353" i="2"/>
  <c r="E354" i="2"/>
  <c r="G354" i="2"/>
  <c r="E355" i="2"/>
  <c r="G355" i="2"/>
  <c r="E356" i="2"/>
  <c r="G356" i="2"/>
  <c r="E357" i="2"/>
  <c r="G357" i="2"/>
  <c r="E358" i="2"/>
  <c r="G358" i="2"/>
  <c r="E359" i="2"/>
  <c r="G359" i="2"/>
  <c r="E360" i="2"/>
  <c r="G360" i="2"/>
  <c r="E361" i="2"/>
  <c r="G361" i="2"/>
  <c r="E362" i="2"/>
  <c r="G362" i="2"/>
  <c r="E363" i="2"/>
  <c r="G363" i="2"/>
  <c r="E364" i="2"/>
  <c r="G364" i="2"/>
  <c r="E365" i="2"/>
  <c r="G365" i="2"/>
  <c r="E366" i="2"/>
  <c r="G366" i="2"/>
  <c r="E367" i="2"/>
  <c r="G367" i="2"/>
  <c r="E368" i="2"/>
  <c r="G368" i="2"/>
  <c r="E369" i="2"/>
  <c r="G369" i="2"/>
  <c r="E370" i="2"/>
  <c r="G370" i="2"/>
  <c r="E371" i="2"/>
  <c r="G371" i="2"/>
  <c r="E372" i="2"/>
  <c r="G372" i="2"/>
  <c r="E373" i="2"/>
  <c r="G373" i="2"/>
  <c r="E374" i="2"/>
  <c r="G374" i="2"/>
  <c r="E375" i="2"/>
  <c r="G375" i="2"/>
  <c r="E376" i="2"/>
  <c r="G376" i="2"/>
  <c r="E377" i="2"/>
  <c r="G377" i="2"/>
  <c r="E378" i="2"/>
  <c r="G378" i="2"/>
  <c r="E379" i="2"/>
  <c r="G379" i="2"/>
  <c r="E380" i="2"/>
  <c r="G380" i="2"/>
  <c r="E381" i="2"/>
  <c r="G381" i="2"/>
  <c r="E382" i="2"/>
  <c r="G382" i="2"/>
  <c r="E383" i="2"/>
  <c r="G383" i="2"/>
  <c r="E384" i="2"/>
  <c r="G384" i="2"/>
  <c r="E385" i="2"/>
  <c r="G385" i="2"/>
  <c r="E386" i="2"/>
  <c r="G386" i="2"/>
  <c r="E387" i="2"/>
  <c r="G387" i="2"/>
  <c r="E388" i="2"/>
  <c r="G388" i="2"/>
  <c r="E389" i="2"/>
  <c r="G389" i="2" s="1"/>
  <c r="E390" i="2"/>
  <c r="G390" i="2"/>
  <c r="E391" i="2"/>
  <c r="G391" i="2" s="1"/>
  <c r="E392" i="2"/>
  <c r="G392" i="2"/>
  <c r="E393" i="2"/>
  <c r="G393" i="2" s="1"/>
  <c r="E394" i="2"/>
  <c r="G394" i="2"/>
  <c r="E395" i="2"/>
  <c r="G395" i="2" s="1"/>
  <c r="E396" i="2"/>
  <c r="G396" i="2"/>
  <c r="E397" i="2"/>
  <c r="G397" i="2" s="1"/>
  <c r="E398" i="2"/>
  <c r="G398" i="2"/>
  <c r="E399" i="2"/>
  <c r="G399" i="2" s="1"/>
  <c r="E400" i="2"/>
  <c r="G400" i="2"/>
  <c r="E401" i="2"/>
  <c r="G401" i="2" s="1"/>
  <c r="E402" i="2"/>
  <c r="G402" i="2"/>
  <c r="E403" i="2"/>
  <c r="G403" i="2" s="1"/>
  <c r="E404" i="2"/>
  <c r="G404" i="2"/>
  <c r="E405" i="2"/>
  <c r="G405" i="2" s="1"/>
  <c r="E27" i="2"/>
  <c r="G27" i="2" s="1"/>
  <c r="E21" i="2"/>
  <c r="G21" i="2" s="1"/>
  <c r="E16" i="2"/>
  <c r="G16" i="2" s="1"/>
  <c r="E12" i="2"/>
  <c r="G12" i="2" s="1"/>
  <c r="E9" i="2"/>
  <c r="G9" i="2" s="1"/>
  <c r="E23" i="2"/>
  <c r="G23" i="2" s="1"/>
  <c r="E19" i="2"/>
  <c r="G19" i="2" s="1"/>
  <c r="E15" i="2"/>
  <c r="G15" i="2" s="1"/>
  <c r="E11" i="2"/>
  <c r="G11" i="2" s="1"/>
  <c r="E8" i="2"/>
  <c r="G8" i="2" s="1"/>
  <c r="E7" i="2"/>
  <c r="G7" i="2" s="1"/>
  <c r="E10" i="2"/>
  <c r="G10" i="2" s="1"/>
  <c r="E13" i="2"/>
  <c r="E14" i="2"/>
  <c r="G14" i="2" s="1"/>
  <c r="E17" i="2"/>
  <c r="G17" i="2" s="1"/>
  <c r="E18" i="2"/>
  <c r="G18" i="2" s="1"/>
  <c r="E20" i="2"/>
  <c r="G20" i="2" s="1"/>
  <c r="E22" i="2"/>
  <c r="G22" i="2" s="1"/>
  <c r="E24" i="2"/>
  <c r="G24" i="2" s="1"/>
  <c r="E25" i="2"/>
  <c r="G25" i="2" s="1"/>
  <c r="E26" i="2"/>
  <c r="G26" i="2" s="1"/>
  <c r="E28" i="2"/>
  <c r="E29" i="2"/>
  <c r="G29" i="2" s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43" i="1"/>
  <c r="E99" i="2"/>
  <c r="G99" i="2" s="1"/>
  <c r="E100" i="2"/>
  <c r="G100" i="2" s="1"/>
  <c r="E101" i="2"/>
  <c r="G101" i="2" s="1"/>
  <c r="E102" i="2"/>
  <c r="G102" i="2" s="1"/>
  <c r="E103" i="2"/>
  <c r="G103" i="2" s="1"/>
  <c r="E104" i="2"/>
  <c r="G104" i="2" s="1"/>
  <c r="E105" i="2"/>
  <c r="G105" i="2" s="1"/>
  <c r="E106" i="2"/>
  <c r="G106" i="2" s="1"/>
  <c r="E107" i="2"/>
  <c r="G107" i="2" s="1"/>
  <c r="E108" i="2"/>
  <c r="G108" i="2" s="1"/>
  <c r="E109" i="2"/>
  <c r="G109" i="2" s="1"/>
  <c r="E110" i="2"/>
  <c r="G110" i="2" s="1"/>
  <c r="E111" i="2"/>
  <c r="G111" i="2" s="1"/>
  <c r="E112" i="2"/>
  <c r="G112" i="2" s="1"/>
  <c r="E113" i="2"/>
  <c r="G113" i="2" s="1"/>
  <c r="E114" i="2"/>
  <c r="G114" i="2" s="1"/>
  <c r="E115" i="2"/>
  <c r="G115" i="2" s="1"/>
  <c r="E116" i="2"/>
  <c r="G116" i="2" s="1"/>
  <c r="E117" i="2"/>
  <c r="G117" i="2" s="1"/>
  <c r="E118" i="2"/>
  <c r="G118" i="2" s="1"/>
  <c r="E119" i="2"/>
  <c r="G119" i="2" s="1"/>
  <c r="E120" i="2"/>
  <c r="G120" i="2" s="1"/>
  <c r="E121" i="2"/>
  <c r="G121" i="2" s="1"/>
  <c r="E122" i="2"/>
  <c r="G122" i="2" s="1"/>
  <c r="E123" i="2"/>
  <c r="G123" i="2" s="1"/>
  <c r="E124" i="2"/>
  <c r="G124" i="2"/>
  <c r="E125" i="2"/>
  <c r="G125" i="2" s="1"/>
  <c r="E126" i="2"/>
  <c r="G126" i="2" s="1"/>
  <c r="E127" i="2"/>
  <c r="G127" i="2" s="1"/>
  <c r="E128" i="2"/>
  <c r="G128" i="2" s="1"/>
  <c r="E129" i="2"/>
  <c r="G129" i="2" s="1"/>
  <c r="E130" i="2"/>
  <c r="G130" i="2" s="1"/>
  <c r="E131" i="2"/>
  <c r="G131" i="2" s="1"/>
  <c r="E132" i="2"/>
  <c r="G132" i="2"/>
  <c r="E133" i="2"/>
  <c r="G133" i="2" s="1"/>
  <c r="E134" i="2"/>
  <c r="G134" i="2" s="1"/>
  <c r="E135" i="2"/>
  <c r="G135" i="2" s="1"/>
  <c r="E136" i="2"/>
  <c r="G136" i="2"/>
  <c r="E137" i="2"/>
  <c r="G137" i="2" s="1"/>
  <c r="E138" i="2"/>
  <c r="G138" i="2" s="1"/>
  <c r="E139" i="2"/>
  <c r="G139" i="2" s="1"/>
  <c r="E140" i="2"/>
  <c r="G140" i="2"/>
  <c r="E141" i="2"/>
  <c r="G141" i="2" s="1"/>
  <c r="E142" i="2"/>
  <c r="G142" i="2" s="1"/>
  <c r="E143" i="2"/>
  <c r="G143" i="2" s="1"/>
  <c r="E144" i="2"/>
  <c r="G144" i="2" s="1"/>
  <c r="E145" i="2"/>
  <c r="G145" i="2" s="1"/>
  <c r="E146" i="2"/>
  <c r="G146" i="2" s="1"/>
  <c r="E147" i="2"/>
  <c r="G147" i="2" s="1"/>
  <c r="E148" i="2"/>
  <c r="G148" i="2" s="1"/>
  <c r="E149" i="2"/>
  <c r="G149" i="2" s="1"/>
  <c r="E150" i="2"/>
  <c r="G150" i="2" s="1"/>
  <c r="E151" i="2"/>
  <c r="G151" i="2" s="1"/>
  <c r="E152" i="2"/>
  <c r="G152" i="2" s="1"/>
  <c r="E153" i="2"/>
  <c r="G153" i="2" s="1"/>
  <c r="E154" i="2"/>
  <c r="G154" i="2" s="1"/>
  <c r="E155" i="2"/>
  <c r="G155" i="2" s="1"/>
  <c r="E156" i="2"/>
  <c r="G156" i="2" s="1"/>
  <c r="E157" i="2"/>
  <c r="G157" i="2" s="1"/>
  <c r="E158" i="2"/>
  <c r="G158" i="2" s="1"/>
  <c r="E159" i="2"/>
  <c r="G159" i="2" s="1"/>
  <c r="E160" i="2"/>
  <c r="G160" i="2" s="1"/>
  <c r="E161" i="2"/>
  <c r="G161" i="2" s="1"/>
  <c r="E162" i="2"/>
  <c r="G162" i="2" s="1"/>
  <c r="E163" i="2"/>
  <c r="G163" i="2" s="1"/>
  <c r="E164" i="2"/>
  <c r="G164" i="2" s="1"/>
  <c r="E165" i="2"/>
  <c r="G165" i="2" s="1"/>
  <c r="E166" i="2"/>
  <c r="G166" i="2" s="1"/>
  <c r="E167" i="2"/>
  <c r="G167" i="2" s="1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B6" i="3"/>
  <c r="H5" i="3"/>
  <c r="G5" i="3"/>
  <c r="E49" i="2"/>
  <c r="E50" i="2"/>
  <c r="E51" i="2"/>
  <c r="E52" i="2"/>
  <c r="E53" i="2"/>
  <c r="E54" i="2"/>
  <c r="G54" i="2" s="1"/>
  <c r="E55" i="2"/>
  <c r="E56" i="2"/>
  <c r="E57" i="2"/>
  <c r="E58" i="2"/>
  <c r="G58" i="2" s="1"/>
  <c r="E59" i="2"/>
  <c r="E60" i="2"/>
  <c r="E61" i="2"/>
  <c r="E62" i="2"/>
  <c r="G62" i="2" s="1"/>
  <c r="E63" i="2"/>
  <c r="E64" i="2"/>
  <c r="E65" i="2"/>
  <c r="E66" i="2"/>
  <c r="G66" i="2" s="1"/>
  <c r="E67" i="2"/>
  <c r="E68" i="2"/>
  <c r="E69" i="2"/>
  <c r="E70" i="2"/>
  <c r="G70" i="2" s="1"/>
  <c r="E71" i="2"/>
  <c r="E72" i="2"/>
  <c r="E73" i="2"/>
  <c r="G73" i="2" s="1"/>
  <c r="E74" i="2"/>
  <c r="G74" i="2" s="1"/>
  <c r="E75" i="2"/>
  <c r="E76" i="2"/>
  <c r="E77" i="2"/>
  <c r="G77" i="2" s="1"/>
  <c r="E78" i="2"/>
  <c r="G78" i="2" s="1"/>
  <c r="E79" i="2"/>
  <c r="E80" i="2"/>
  <c r="E81" i="2"/>
  <c r="G81" i="2" s="1"/>
  <c r="E82" i="2"/>
  <c r="E83" i="2"/>
  <c r="E84" i="2"/>
  <c r="E85" i="2"/>
  <c r="G85" i="2" s="1"/>
  <c r="E86" i="2"/>
  <c r="G86" i="2" s="1"/>
  <c r="E87" i="2"/>
  <c r="E88" i="2"/>
  <c r="E89" i="2"/>
  <c r="G89" i="2" s="1"/>
  <c r="E90" i="2"/>
  <c r="G90" i="2" s="1"/>
  <c r="E91" i="2"/>
  <c r="G91" i="2" s="1"/>
  <c r="E92" i="2"/>
  <c r="G92" i="2" s="1"/>
  <c r="E93" i="2"/>
  <c r="G93" i="2" s="1"/>
  <c r="E94" i="2"/>
  <c r="E95" i="2"/>
  <c r="E96" i="2"/>
  <c r="E97" i="2"/>
  <c r="G97" i="2" s="1"/>
  <c r="E98" i="2"/>
  <c r="G98" i="2" s="1"/>
  <c r="G72" i="2"/>
  <c r="G75" i="2"/>
  <c r="G76" i="2"/>
  <c r="G79" i="2"/>
  <c r="G80" i="2"/>
  <c r="G82" i="2"/>
  <c r="G83" i="2"/>
  <c r="G84" i="2"/>
  <c r="G87" i="2"/>
  <c r="G88" i="2"/>
  <c r="G94" i="2"/>
  <c r="G95" i="2"/>
  <c r="G96" i="2"/>
  <c r="G51" i="2"/>
  <c r="G52" i="2"/>
  <c r="G53" i="2"/>
  <c r="G55" i="2"/>
  <c r="G56" i="2"/>
  <c r="G57" i="2"/>
  <c r="G59" i="2"/>
  <c r="G60" i="2"/>
  <c r="G61" i="2"/>
  <c r="G63" i="2"/>
  <c r="G64" i="2"/>
  <c r="G65" i="2"/>
  <c r="G67" i="2"/>
  <c r="G68" i="2"/>
  <c r="G69" i="2"/>
  <c r="G71" i="2"/>
  <c r="G50" i="2"/>
  <c r="G49" i="2"/>
  <c r="E48" i="2"/>
  <c r="G48" i="2" s="1"/>
  <c r="E47" i="2"/>
  <c r="G47" i="2" s="1"/>
  <c r="E46" i="2"/>
  <c r="G46" i="2" s="1"/>
  <c r="E45" i="2"/>
  <c r="G45" i="2" s="1"/>
  <c r="E44" i="2"/>
  <c r="G44" i="2" s="1"/>
  <c r="E43" i="2"/>
  <c r="G43" i="2" s="1"/>
  <c r="E42" i="2"/>
  <c r="G42" i="2" s="1"/>
  <c r="E41" i="2"/>
  <c r="G41" i="2" s="1"/>
  <c r="E40" i="2"/>
  <c r="G40" i="2" s="1"/>
  <c r="E39" i="2"/>
  <c r="G39" i="2" s="1"/>
  <c r="E38" i="2"/>
  <c r="G38" i="2" s="1"/>
  <c r="E37" i="2"/>
  <c r="G37" i="2" s="1"/>
  <c r="E36" i="2"/>
  <c r="G36" i="2" s="1"/>
  <c r="E35" i="2"/>
  <c r="G35" i="2" s="1"/>
  <c r="E34" i="2"/>
  <c r="G34" i="2" s="1"/>
  <c r="E33" i="2"/>
  <c r="G33" i="2" s="1"/>
  <c r="E32" i="2"/>
  <c r="G32" i="2" s="1"/>
  <c r="E31" i="2"/>
  <c r="G31" i="2" s="1"/>
  <c r="E30" i="2"/>
  <c r="G30" i="2" s="1"/>
  <c r="G28" i="2"/>
  <c r="G13" i="2"/>
  <c r="M6" i="2"/>
  <c r="E6" i="2"/>
  <c r="G6" i="2" s="1"/>
  <c r="P110" i="1"/>
  <c r="P111" i="1"/>
  <c r="P112" i="1"/>
  <c r="P113" i="1"/>
  <c r="P114" i="1"/>
  <c r="P115" i="1"/>
  <c r="P116" i="1"/>
  <c r="P117" i="1"/>
  <c r="P118" i="1"/>
  <c r="P119" i="1"/>
  <c r="P120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21" i="1"/>
  <c r="O112" i="1"/>
  <c r="O113" i="1"/>
  <c r="O114" i="1"/>
  <c r="O115" i="1" s="1"/>
  <c r="O116" i="1" s="1"/>
  <c r="O117" i="1" s="1"/>
  <c r="O118" i="1" s="1"/>
  <c r="O119" i="1" s="1"/>
  <c r="O120" i="1" s="1"/>
  <c r="O121" i="1" s="1"/>
  <c r="O122" i="1"/>
  <c r="O123" i="1"/>
  <c r="O124" i="1"/>
  <c r="O125" i="1"/>
  <c r="O126" i="1"/>
  <c r="O127" i="1" s="1"/>
  <c r="O128" i="1" s="1"/>
  <c r="O129" i="1" s="1"/>
  <c r="O130" i="1" s="1"/>
  <c r="O131" i="1" s="1"/>
  <c r="O132" i="1" s="1"/>
  <c r="O133" i="1" s="1"/>
  <c r="O134" i="1"/>
  <c r="O135" i="1" s="1"/>
  <c r="O136" i="1" s="1"/>
  <c r="O137" i="1" s="1"/>
  <c r="O138" i="1" s="1"/>
  <c r="O139" i="1" s="1"/>
  <c r="O140" i="1" s="1"/>
  <c r="O141" i="1" s="1"/>
  <c r="O142" i="1"/>
  <c r="O143" i="1"/>
  <c r="O144" i="1"/>
  <c r="O145" i="1"/>
  <c r="O146" i="1"/>
  <c r="O147" i="1" s="1"/>
  <c r="O148" i="1" s="1"/>
  <c r="O149" i="1" s="1"/>
  <c r="O150" i="1" s="1"/>
  <c r="O151" i="1" s="1"/>
  <c r="O152" i="1" s="1"/>
  <c r="O153" i="1" s="1"/>
  <c r="O154" i="1"/>
  <c r="O155" i="1"/>
  <c r="O156" i="1"/>
  <c r="O157" i="1"/>
  <c r="O111" i="1"/>
  <c r="N112" i="1"/>
  <c r="N113" i="1"/>
  <c r="N114" i="1"/>
  <c r="N115" i="1"/>
  <c r="N116" i="1" s="1"/>
  <c r="N117" i="1" s="1"/>
  <c r="N118" i="1" s="1"/>
  <c r="N119" i="1" s="1"/>
  <c r="N120" i="1" s="1"/>
  <c r="N121" i="1" s="1"/>
  <c r="N122" i="1" s="1"/>
  <c r="N123" i="1" s="1"/>
  <c r="N124" i="1"/>
  <c r="N125" i="1"/>
  <c r="N126" i="1"/>
  <c r="N127" i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/>
  <c r="N144" i="1" s="1"/>
  <c r="N145" i="1"/>
  <c r="N146" i="1"/>
  <c r="N147" i="1"/>
  <c r="N148" i="1" s="1"/>
  <c r="N149" i="1" s="1"/>
  <c r="N150" i="1" s="1"/>
  <c r="N151" i="1" s="1"/>
  <c r="N152" i="1" s="1"/>
  <c r="N153" i="1" s="1"/>
  <c r="N154" i="1" s="1"/>
  <c r="N155" i="1"/>
  <c r="N156" i="1" s="1"/>
  <c r="N157" i="1" s="1"/>
  <c r="N111" i="1"/>
  <c r="Q111" i="1"/>
  <c r="J110" i="1"/>
  <c r="H110" i="1"/>
  <c r="O89" i="1"/>
  <c r="O97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11" i="1"/>
  <c r="J111" i="1" s="1"/>
  <c r="J114" i="1"/>
  <c r="J113" i="1"/>
  <c r="J112" i="1"/>
  <c r="J168" i="2"/>
  <c r="H188" i="2"/>
  <c r="I189" i="2"/>
  <c r="J190" i="2"/>
  <c r="J192" i="2"/>
  <c r="J194" i="2"/>
  <c r="J196" i="2"/>
  <c r="J198" i="2"/>
  <c r="J200" i="2"/>
  <c r="J169" i="2"/>
  <c r="J171" i="2"/>
  <c r="J173" i="2"/>
  <c r="J175" i="2"/>
  <c r="J177" i="2"/>
  <c r="J179" i="2"/>
  <c r="J181" i="2"/>
  <c r="J183" i="2"/>
  <c r="J185" i="2"/>
  <c r="J187" i="2"/>
  <c r="J189" i="2"/>
  <c r="H191" i="2"/>
  <c r="H199" i="2"/>
  <c r="J206" i="2"/>
  <c r="J211" i="2"/>
  <c r="H189" i="2"/>
  <c r="H197" i="2"/>
  <c r="J208" i="2"/>
  <c r="J188" i="2"/>
  <c r="J202" i="2"/>
  <c r="J210" i="2"/>
  <c r="J214" i="2"/>
  <c r="J218" i="2"/>
  <c r="J222" i="2"/>
  <c r="I239" i="2"/>
  <c r="I243" i="2"/>
  <c r="H248" i="2"/>
  <c r="H256" i="2"/>
  <c r="H264" i="2"/>
  <c r="H272" i="2"/>
  <c r="I238" i="2"/>
  <c r="I242" i="2"/>
  <c r="I248" i="2"/>
  <c r="I249" i="2"/>
  <c r="H250" i="2"/>
  <c r="I256" i="2"/>
  <c r="I257" i="2"/>
  <c r="H258" i="2"/>
  <c r="I264" i="2"/>
  <c r="I265" i="2"/>
  <c r="H266" i="2"/>
  <c r="I272" i="2"/>
  <c r="H273" i="2"/>
  <c r="J274" i="2"/>
  <c r="H275" i="2"/>
  <c r="J276" i="2"/>
  <c r="H277" i="2"/>
  <c r="J278" i="2"/>
  <c r="H279" i="2"/>
  <c r="J280" i="2"/>
  <c r="J282" i="2"/>
  <c r="J284" i="2"/>
  <c r="J286" i="2"/>
  <c r="J288" i="2"/>
  <c r="J212" i="2"/>
  <c r="J216" i="2"/>
  <c r="J220" i="2"/>
  <c r="J225" i="2"/>
  <c r="J227" i="2"/>
  <c r="J229" i="2"/>
  <c r="J231" i="2"/>
  <c r="J233" i="2"/>
  <c r="J235" i="2"/>
  <c r="H244" i="2"/>
  <c r="J249" i="2"/>
  <c r="J257" i="2"/>
  <c r="J265" i="2"/>
  <c r="I273" i="2"/>
  <c r="I275" i="2"/>
  <c r="I277" i="2"/>
  <c r="I279" i="2"/>
  <c r="I281" i="2"/>
  <c r="I283" i="2"/>
  <c r="I285" i="2"/>
  <c r="I287" i="2"/>
  <c r="I289" i="2"/>
  <c r="I237" i="2"/>
  <c r="I241" i="2"/>
  <c r="I245" i="2"/>
  <c r="I251" i="2"/>
  <c r="I261" i="2"/>
  <c r="I267" i="2"/>
  <c r="I274" i="2"/>
  <c r="I278" i="2"/>
  <c r="I282" i="2"/>
  <c r="I286" i="2"/>
  <c r="I298" i="2"/>
  <c r="I302" i="2"/>
  <c r="I306" i="2"/>
  <c r="I310" i="2"/>
  <c r="J314" i="2"/>
  <c r="H317" i="2"/>
  <c r="H318" i="2"/>
  <c r="J319" i="2"/>
  <c r="J321" i="2"/>
  <c r="J323" i="2"/>
  <c r="J325" i="2"/>
  <c r="J327" i="2"/>
  <c r="J329" i="2"/>
  <c r="J331" i="2"/>
  <c r="J333" i="2"/>
  <c r="J335" i="2"/>
  <c r="J337" i="2"/>
  <c r="J339" i="2"/>
  <c r="J341" i="2"/>
  <c r="J343" i="2"/>
  <c r="J345" i="2"/>
  <c r="J347" i="2"/>
  <c r="J349" i="2"/>
  <c r="J351" i="2"/>
  <c r="J353" i="2"/>
  <c r="J355" i="2"/>
  <c r="J357" i="2"/>
  <c r="J359" i="2"/>
  <c r="J361" i="2"/>
  <c r="J363" i="2"/>
  <c r="J365" i="2"/>
  <c r="J367" i="2"/>
  <c r="J369" i="2"/>
  <c r="J371" i="2"/>
  <c r="J373" i="2"/>
  <c r="J375" i="2"/>
  <c r="J377" i="2"/>
  <c r="J379" i="2"/>
  <c r="J381" i="2"/>
  <c r="J383" i="2"/>
  <c r="I258" i="2"/>
  <c r="I317" i="2"/>
  <c r="I259" i="2"/>
  <c r="J273" i="2"/>
  <c r="I276" i="2"/>
  <c r="I280" i="2"/>
  <c r="I284" i="2"/>
  <c r="I288" i="2"/>
  <c r="H291" i="2"/>
  <c r="I300" i="2"/>
  <c r="I304" i="2"/>
  <c r="I308" i="2"/>
  <c r="H311" i="2"/>
  <c r="I312" i="2"/>
  <c r="H313" i="2"/>
  <c r="J318" i="2"/>
  <c r="H319" i="2"/>
  <c r="J320" i="2"/>
  <c r="H321" i="2"/>
  <c r="J322" i="2"/>
  <c r="H323" i="2"/>
  <c r="J324" i="2"/>
  <c r="H325" i="2"/>
  <c r="J326" i="2"/>
  <c r="H327" i="2"/>
  <c r="J328" i="2"/>
  <c r="H329" i="2"/>
  <c r="J330" i="2"/>
  <c r="H331" i="2"/>
  <c r="J332" i="2"/>
  <c r="H333" i="2"/>
  <c r="J334" i="2"/>
  <c r="H335" i="2"/>
  <c r="J336" i="2"/>
  <c r="H337" i="2"/>
  <c r="J338" i="2"/>
  <c r="H339" i="2"/>
  <c r="J340" i="2"/>
  <c r="H341" i="2"/>
  <c r="J342" i="2"/>
  <c r="H343" i="2"/>
  <c r="J344" i="2"/>
  <c r="H345" i="2"/>
  <c r="J346" i="2"/>
  <c r="H347" i="2"/>
  <c r="J348" i="2"/>
  <c r="H349" i="2"/>
  <c r="J350" i="2"/>
  <c r="H351" i="2"/>
  <c r="J352" i="2"/>
  <c r="H353" i="2"/>
  <c r="J354" i="2"/>
  <c r="H355" i="2"/>
  <c r="J356" i="2"/>
  <c r="H357" i="2"/>
  <c r="J358" i="2"/>
  <c r="H359" i="2"/>
  <c r="J360" i="2"/>
  <c r="H361" i="2"/>
  <c r="J362" i="2"/>
  <c r="H363" i="2"/>
  <c r="J364" i="2"/>
  <c r="H365" i="2"/>
  <c r="J366" i="2"/>
  <c r="H367" i="2"/>
  <c r="J368" i="2"/>
  <c r="H369" i="2"/>
  <c r="J370" i="2"/>
  <c r="H371" i="2"/>
  <c r="J372" i="2"/>
  <c r="I240" i="2"/>
  <c r="I244" i="2"/>
  <c r="I250" i="2"/>
  <c r="I266" i="2"/>
  <c r="H289" i="2"/>
  <c r="I291" i="2"/>
  <c r="I314" i="2"/>
  <c r="I318" i="2"/>
  <c r="I320" i="2"/>
  <c r="I322" i="2"/>
  <c r="I324" i="2"/>
  <c r="I326" i="2"/>
  <c r="I328" i="2"/>
  <c r="I330" i="2"/>
  <c r="I332" i="2"/>
  <c r="I334" i="2"/>
  <c r="I336" i="2"/>
  <c r="I338" i="2"/>
  <c r="I340" i="2"/>
  <c r="I342" i="2"/>
  <c r="I344" i="2"/>
  <c r="I346" i="2"/>
  <c r="I348" i="2"/>
  <c r="I350" i="2"/>
  <c r="I352" i="2"/>
  <c r="I354" i="2"/>
  <c r="I356" i="2"/>
  <c r="I358" i="2"/>
  <c r="I360" i="2"/>
  <c r="I362" i="2"/>
  <c r="I364" i="2"/>
  <c r="I366" i="2"/>
  <c r="I368" i="2"/>
  <c r="I370" i="2"/>
  <c r="I372" i="2"/>
  <c r="J376" i="2"/>
  <c r="J380" i="2"/>
  <c r="J384" i="2"/>
  <c r="J385" i="2"/>
  <c r="J386" i="2"/>
  <c r="J387" i="2"/>
  <c r="J391" i="2"/>
  <c r="J395" i="2"/>
  <c r="J399" i="2"/>
  <c r="J403" i="2"/>
  <c r="I295" i="2"/>
  <c r="I299" i="2"/>
  <c r="I303" i="2"/>
  <c r="I307" i="2"/>
  <c r="I311" i="2"/>
  <c r="I315" i="2"/>
  <c r="I293" i="2"/>
  <c r="I296" i="2"/>
  <c r="I319" i="2"/>
  <c r="I321" i="2"/>
  <c r="I323" i="2"/>
  <c r="I325" i="2"/>
  <c r="I327" i="2"/>
  <c r="I329" i="2"/>
  <c r="I331" i="2"/>
  <c r="I333" i="2"/>
  <c r="I335" i="2"/>
  <c r="I337" i="2"/>
  <c r="I339" i="2"/>
  <c r="I341" i="2"/>
  <c r="I343" i="2"/>
  <c r="I345" i="2"/>
  <c r="I347" i="2"/>
  <c r="I349" i="2"/>
  <c r="I351" i="2"/>
  <c r="I353" i="2"/>
  <c r="I355" i="2"/>
  <c r="I357" i="2"/>
  <c r="I359" i="2"/>
  <c r="I361" i="2"/>
  <c r="I363" i="2"/>
  <c r="I365" i="2"/>
  <c r="I367" i="2"/>
  <c r="I369" i="2"/>
  <c r="I371" i="2"/>
  <c r="J374" i="2"/>
  <c r="J378" i="2"/>
  <c r="J388" i="2"/>
  <c r="I297" i="2"/>
  <c r="I301" i="2"/>
  <c r="I305" i="2"/>
  <c r="I309" i="2"/>
  <c r="I313" i="2"/>
  <c r="H388" i="2"/>
  <c r="I394" i="2"/>
  <c r="J382" i="2"/>
  <c r="I392" i="2"/>
  <c r="I402" i="2"/>
  <c r="J99" i="2"/>
  <c r="J133" i="2"/>
  <c r="J117" i="2"/>
  <c r="I118" i="2"/>
  <c r="J119" i="2"/>
  <c r="J121" i="2"/>
  <c r="J123" i="2"/>
  <c r="J125" i="2"/>
  <c r="J127" i="2"/>
  <c r="J129" i="2"/>
  <c r="J131" i="2"/>
  <c r="J137" i="2"/>
  <c r="J139" i="2"/>
  <c r="J141" i="2"/>
  <c r="J100" i="2"/>
  <c r="J102" i="2"/>
  <c r="J104" i="2"/>
  <c r="J106" i="2"/>
  <c r="J108" i="2"/>
  <c r="J110" i="2"/>
  <c r="J112" i="2"/>
  <c r="J114" i="2"/>
  <c r="J116" i="2"/>
  <c r="J118" i="2"/>
  <c r="J135" i="2"/>
  <c r="H118" i="2"/>
  <c r="H126" i="2"/>
  <c r="H134" i="2"/>
  <c r="H124" i="2"/>
  <c r="J165" i="2"/>
  <c r="J157" i="2"/>
  <c r="J159" i="2"/>
  <c r="D49" i="3"/>
  <c r="D53" i="3"/>
  <c r="D57" i="3"/>
  <c r="D61" i="3"/>
  <c r="D48" i="3"/>
  <c r="D52" i="3"/>
  <c r="D56" i="3"/>
  <c r="D60" i="3"/>
  <c r="D58" i="3"/>
  <c r="D47" i="3"/>
  <c r="D51" i="3"/>
  <c r="D55" i="3"/>
  <c r="D59" i="3"/>
  <c r="D50" i="3"/>
  <c r="D54" i="3"/>
  <c r="D30" i="3"/>
  <c r="D34" i="3"/>
  <c r="D38" i="3"/>
  <c r="D42" i="3"/>
  <c r="D46" i="3"/>
  <c r="D29" i="3"/>
  <c r="D33" i="3"/>
  <c r="D37" i="3"/>
  <c r="D41" i="3"/>
  <c r="D45" i="3"/>
  <c r="D28" i="3"/>
  <c r="D32" i="3"/>
  <c r="D36" i="3"/>
  <c r="D40" i="3"/>
  <c r="D44" i="3"/>
  <c r="D31" i="3"/>
  <c r="D35" i="3"/>
  <c r="D39" i="3"/>
  <c r="D43" i="3"/>
  <c r="D27" i="3"/>
  <c r="D23" i="3"/>
  <c r="D19" i="3"/>
  <c r="D15" i="3"/>
  <c r="D24" i="3"/>
  <c r="D20" i="3"/>
  <c r="D16" i="3"/>
  <c r="D12" i="3"/>
  <c r="D8" i="3"/>
  <c r="D25" i="3"/>
  <c r="D21" i="3"/>
  <c r="D17" i="3"/>
  <c r="D13" i="3"/>
  <c r="D9" i="3"/>
  <c r="D7" i="3"/>
  <c r="D26" i="3"/>
  <c r="D22" i="3"/>
  <c r="D18" i="3"/>
  <c r="D14" i="3"/>
  <c r="D10" i="3"/>
  <c r="D6" i="3"/>
  <c r="D11" i="3"/>
  <c r="G6" i="3"/>
  <c r="H77" i="2"/>
  <c r="H81" i="2"/>
  <c r="H85" i="2"/>
  <c r="H89" i="2"/>
  <c r="H93" i="2"/>
  <c r="H97" i="2"/>
  <c r="H72" i="2"/>
  <c r="I73" i="2"/>
  <c r="J74" i="2"/>
  <c r="H76" i="2"/>
  <c r="I77" i="2"/>
  <c r="J78" i="2"/>
  <c r="H80" i="2"/>
  <c r="I81" i="2"/>
  <c r="J82" i="2"/>
  <c r="H84" i="2"/>
  <c r="I85" i="2"/>
  <c r="J86" i="2"/>
  <c r="H88" i="2"/>
  <c r="I89" i="2"/>
  <c r="J90" i="2"/>
  <c r="I93" i="2"/>
  <c r="J94" i="2"/>
  <c r="I97" i="2"/>
  <c r="I72" i="2"/>
  <c r="J73" i="2"/>
  <c r="I76" i="2"/>
  <c r="J77" i="2"/>
  <c r="J81" i="2"/>
  <c r="J85" i="2"/>
  <c r="J89" i="2"/>
  <c r="J93" i="2"/>
  <c r="J97" i="2"/>
  <c r="J72" i="2"/>
  <c r="J98" i="2"/>
  <c r="I94" i="2"/>
  <c r="H73" i="2"/>
  <c r="I74" i="2"/>
  <c r="I78" i="2"/>
  <c r="I82" i="2"/>
  <c r="I86" i="2"/>
  <c r="I90" i="2"/>
  <c r="H75" i="2"/>
  <c r="H79" i="2"/>
  <c r="H83" i="2"/>
  <c r="H87" i="2"/>
  <c r="H92" i="2"/>
  <c r="H95" i="2"/>
  <c r="I98" i="2"/>
  <c r="H52" i="2"/>
  <c r="H56" i="2"/>
  <c r="H60" i="2"/>
  <c r="H64" i="2"/>
  <c r="H68" i="2"/>
  <c r="I52" i="2"/>
  <c r="J53" i="2"/>
  <c r="H55" i="2"/>
  <c r="I56" i="2"/>
  <c r="J57" i="2"/>
  <c r="H59" i="2"/>
  <c r="I60" i="2"/>
  <c r="J61" i="2"/>
  <c r="H63" i="2"/>
  <c r="I64" i="2"/>
  <c r="J65" i="2"/>
  <c r="H67" i="2"/>
  <c r="J69" i="2"/>
  <c r="J52" i="2"/>
  <c r="I55" i="2"/>
  <c r="J56" i="2"/>
  <c r="I59" i="2"/>
  <c r="J60" i="2"/>
  <c r="J64" i="2"/>
  <c r="J68" i="2"/>
  <c r="J51" i="2"/>
  <c r="I68" i="2"/>
  <c r="H51" i="2"/>
  <c r="I65" i="2"/>
  <c r="I53" i="2"/>
  <c r="I57" i="2"/>
  <c r="I69" i="2"/>
  <c r="H54" i="2"/>
  <c r="H58" i="2"/>
  <c r="H62" i="2"/>
  <c r="H66" i="2"/>
  <c r="H71" i="2"/>
  <c r="I61" i="2"/>
  <c r="I15" i="2"/>
  <c r="H14" i="2"/>
  <c r="J15" i="2"/>
  <c r="H13" i="2"/>
  <c r="J13" i="2"/>
  <c r="J8" i="2"/>
  <c r="J14" i="2"/>
  <c r="J42" i="2"/>
  <c r="J38" i="2"/>
  <c r="J34" i="2"/>
  <c r="J30" i="2"/>
  <c r="J26" i="2"/>
  <c r="J22" i="2"/>
  <c r="J18" i="2"/>
  <c r="I14" i="2"/>
  <c r="H7" i="2"/>
  <c r="I7" i="2"/>
  <c r="J24" i="2"/>
  <c r="J44" i="2"/>
  <c r="J40" i="2"/>
  <c r="J36" i="2"/>
  <c r="J32" i="2"/>
  <c r="J28" i="2"/>
  <c r="J20" i="2"/>
  <c r="J16" i="2"/>
  <c r="K75" i="1"/>
  <c r="L75" i="1"/>
  <c r="L77" i="1"/>
  <c r="L79" i="1"/>
  <c r="L81" i="1"/>
  <c r="L83" i="1"/>
  <c r="L85" i="1"/>
  <c r="L87" i="1"/>
  <c r="L89" i="1"/>
  <c r="L91" i="1"/>
  <c r="L93" i="1"/>
  <c r="L95" i="1"/>
  <c r="L97" i="1"/>
  <c r="L99" i="1"/>
  <c r="L101" i="1"/>
  <c r="L78" i="1"/>
  <c r="L82" i="1"/>
  <c r="L86" i="1"/>
  <c r="L90" i="1"/>
  <c r="L94" i="1"/>
  <c r="L98" i="1"/>
  <c r="K77" i="1"/>
  <c r="K81" i="1"/>
  <c r="K85" i="1"/>
  <c r="K89" i="1"/>
  <c r="K93" i="1"/>
  <c r="K97" i="1"/>
  <c r="K101" i="1"/>
  <c r="K76" i="1"/>
  <c r="K78" i="1"/>
  <c r="K80" i="1"/>
  <c r="K82" i="1"/>
  <c r="K84" i="1"/>
  <c r="K86" i="1"/>
  <c r="K88" i="1"/>
  <c r="K90" i="1"/>
  <c r="K92" i="1"/>
  <c r="K94" i="1"/>
  <c r="K96" i="1"/>
  <c r="K98" i="1"/>
  <c r="K100" i="1"/>
  <c r="L80" i="1"/>
  <c r="L84" i="1"/>
  <c r="L88" i="1"/>
  <c r="L92" i="1"/>
  <c r="L96" i="1"/>
  <c r="L100" i="1"/>
  <c r="K79" i="1"/>
  <c r="K83" i="1"/>
  <c r="K87" i="1"/>
  <c r="K91" i="1"/>
  <c r="K95" i="1"/>
  <c r="K99" i="1"/>
  <c r="L76" i="1"/>
  <c r="K74" i="1"/>
  <c r="L74" i="1"/>
  <c r="L116" i="1"/>
  <c r="L120" i="1"/>
  <c r="L124" i="1"/>
  <c r="L128" i="1"/>
  <c r="L132" i="1"/>
  <c r="L136" i="1"/>
  <c r="L140" i="1"/>
  <c r="L144" i="1"/>
  <c r="L148" i="1"/>
  <c r="L152" i="1"/>
  <c r="L156" i="1"/>
  <c r="L117" i="1"/>
  <c r="L121" i="1"/>
  <c r="L125" i="1"/>
  <c r="L129" i="1"/>
  <c r="L133" i="1"/>
  <c r="L137" i="1"/>
  <c r="L141" i="1"/>
  <c r="L145" i="1"/>
  <c r="L149" i="1"/>
  <c r="L153" i="1"/>
  <c r="L157" i="1"/>
  <c r="L123" i="1"/>
  <c r="L135" i="1"/>
  <c r="L147" i="1"/>
  <c r="L155" i="1"/>
  <c r="L118" i="1"/>
  <c r="L122" i="1"/>
  <c r="L126" i="1"/>
  <c r="L130" i="1"/>
  <c r="L134" i="1"/>
  <c r="L138" i="1"/>
  <c r="L142" i="1"/>
  <c r="L146" i="1"/>
  <c r="L150" i="1"/>
  <c r="L154" i="1"/>
  <c r="L119" i="1"/>
  <c r="L127" i="1"/>
  <c r="L131" i="1"/>
  <c r="L139" i="1"/>
  <c r="L143" i="1"/>
  <c r="L151" i="1"/>
  <c r="L111" i="1"/>
  <c r="L113" i="1"/>
  <c r="L114" i="1"/>
  <c r="L112" i="1"/>
  <c r="L115" i="1"/>
  <c r="K111" i="1"/>
  <c r="K112" i="1"/>
  <c r="K113" i="1"/>
  <c r="K117" i="1"/>
  <c r="K121" i="1"/>
  <c r="K114" i="1"/>
  <c r="K118" i="1"/>
  <c r="K122" i="1"/>
  <c r="K115" i="1"/>
  <c r="K119" i="1"/>
  <c r="K123" i="1"/>
  <c r="K116" i="1"/>
  <c r="K120" i="1"/>
  <c r="K125" i="1"/>
  <c r="K129" i="1"/>
  <c r="K133" i="1"/>
  <c r="K137" i="1"/>
  <c r="K141" i="1"/>
  <c r="K149" i="1"/>
  <c r="K153" i="1"/>
  <c r="K126" i="1"/>
  <c r="K130" i="1"/>
  <c r="K134" i="1"/>
  <c r="K138" i="1"/>
  <c r="K142" i="1"/>
  <c r="K146" i="1"/>
  <c r="K150" i="1"/>
  <c r="K127" i="1"/>
  <c r="K131" i="1"/>
  <c r="K135" i="1"/>
  <c r="K139" i="1"/>
  <c r="K143" i="1"/>
  <c r="K147" i="1"/>
  <c r="K151" i="1"/>
  <c r="K155" i="1"/>
  <c r="K128" i="1"/>
  <c r="K132" i="1"/>
  <c r="K136" i="1"/>
  <c r="K140" i="1"/>
  <c r="K144" i="1"/>
  <c r="K148" i="1"/>
  <c r="K152" i="1"/>
  <c r="K156" i="1"/>
  <c r="K145" i="1"/>
  <c r="K157" i="1"/>
  <c r="K154" i="1"/>
  <c r="K124" i="1"/>
  <c r="M116" i="1"/>
  <c r="M118" i="1"/>
  <c r="M115" i="1"/>
  <c r="M112" i="1"/>
  <c r="M114" i="1"/>
  <c r="M113" i="1"/>
  <c r="K399" i="2" l="1"/>
  <c r="K189" i="2"/>
  <c r="K175" i="2"/>
  <c r="K196" i="2"/>
  <c r="K168" i="2"/>
  <c r="E54" i="3"/>
  <c r="E50" i="3"/>
  <c r="E59" i="3"/>
  <c r="E55" i="3"/>
  <c r="E51" i="3"/>
  <c r="E47" i="3"/>
  <c r="E58" i="3"/>
  <c r="E60" i="3"/>
  <c r="E56" i="3"/>
  <c r="E52" i="3"/>
  <c r="E48" i="3"/>
  <c r="E61" i="3"/>
  <c r="E57" i="3"/>
  <c r="E53" i="3"/>
  <c r="E49" i="3"/>
  <c r="E43" i="3"/>
  <c r="E39" i="3"/>
  <c r="E35" i="3"/>
  <c r="E31" i="3"/>
  <c r="E44" i="3"/>
  <c r="E40" i="3"/>
  <c r="E36" i="3"/>
  <c r="E32" i="3"/>
  <c r="E28" i="3"/>
  <c r="E45" i="3"/>
  <c r="E41" i="3"/>
  <c r="E37" i="3"/>
  <c r="E33" i="3"/>
  <c r="E29" i="3"/>
  <c r="E46" i="3"/>
  <c r="E42" i="3"/>
  <c r="E38" i="3"/>
  <c r="E34" i="3"/>
  <c r="E30" i="3"/>
  <c r="H6" i="3"/>
  <c r="E11" i="3"/>
  <c r="E6" i="3"/>
  <c r="F6" i="3" s="1"/>
  <c r="E10" i="3"/>
  <c r="E14" i="3"/>
  <c r="E18" i="3"/>
  <c r="E22" i="3"/>
  <c r="E26" i="3"/>
  <c r="E7" i="3"/>
  <c r="F7" i="3" s="1"/>
  <c r="E9" i="3"/>
  <c r="E13" i="3"/>
  <c r="E17" i="3"/>
  <c r="E21" i="3"/>
  <c r="E25" i="3"/>
  <c r="E8" i="3"/>
  <c r="E12" i="3"/>
  <c r="E16" i="3"/>
  <c r="E20" i="3"/>
  <c r="E24" i="3"/>
  <c r="E15" i="3"/>
  <c r="E19" i="3"/>
  <c r="E23" i="3"/>
  <c r="E27" i="3"/>
  <c r="K7" i="2"/>
  <c r="L7" i="2" s="1"/>
  <c r="O85" i="1"/>
  <c r="N85" i="1"/>
  <c r="N86" i="1" s="1"/>
  <c r="N79" i="1"/>
  <c r="N80" i="1"/>
  <c r="N81" i="1" s="1"/>
  <c r="J86" i="1"/>
  <c r="J87" i="1"/>
  <c r="J88" i="1"/>
  <c r="J76" i="1"/>
  <c r="J77" i="1"/>
  <c r="J78" i="1"/>
  <c r="J79" i="1"/>
  <c r="J80" i="1"/>
  <c r="J81" i="1"/>
  <c r="J82" i="1"/>
  <c r="J83" i="1"/>
  <c r="J84" i="1"/>
  <c r="J85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75" i="1"/>
  <c r="J74" i="1"/>
  <c r="G43" i="1"/>
  <c r="H43" i="1"/>
  <c r="B62" i="1"/>
  <c r="B63" i="1"/>
  <c r="B64" i="1"/>
  <c r="B65" i="1"/>
  <c r="B56" i="1"/>
  <c r="B57" i="1"/>
  <c r="B58" i="1"/>
  <c r="B59" i="1"/>
  <c r="B60" i="1"/>
  <c r="B61" i="1"/>
  <c r="B45" i="1"/>
  <c r="B46" i="1"/>
  <c r="B47" i="1"/>
  <c r="B48" i="1"/>
  <c r="B49" i="1"/>
  <c r="B50" i="1"/>
  <c r="B51" i="1"/>
  <c r="B52" i="1"/>
  <c r="B53" i="1"/>
  <c r="B54" i="1"/>
  <c r="B55" i="1"/>
  <c r="B44" i="1"/>
  <c r="C44" i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D13" i="1"/>
  <c r="G14" i="1"/>
  <c r="J24" i="1" s="1"/>
  <c r="C15" i="1"/>
  <c r="C16" i="1" s="1"/>
  <c r="C17" i="1" s="1"/>
  <c r="C18" i="1" s="1"/>
  <c r="C19" i="1" s="1"/>
  <c r="M87" i="1"/>
  <c r="M91" i="1"/>
  <c r="M95" i="1"/>
  <c r="M99" i="1"/>
  <c r="M88" i="1"/>
  <c r="M92" i="1"/>
  <c r="M96" i="1"/>
  <c r="M100" i="1"/>
  <c r="M85" i="1"/>
  <c r="M89" i="1"/>
  <c r="M93" i="1"/>
  <c r="M97" i="1"/>
  <c r="M101" i="1"/>
  <c r="M86" i="1"/>
  <c r="M90" i="1"/>
  <c r="M94" i="1"/>
  <c r="M98" i="1"/>
  <c r="M77" i="1"/>
  <c r="M79" i="1"/>
  <c r="M81" i="1"/>
  <c r="M83" i="1"/>
  <c r="M76" i="1"/>
  <c r="M75" i="1"/>
  <c r="D44" i="1"/>
  <c r="D53" i="1"/>
  <c r="D45" i="1"/>
  <c r="D54" i="1"/>
  <c r="D50" i="1"/>
  <c r="D48" i="1"/>
  <c r="D49" i="1"/>
  <c r="D51" i="1"/>
  <c r="D52" i="1"/>
  <c r="D47" i="1"/>
  <c r="D46" i="1"/>
  <c r="D64" i="1"/>
  <c r="D59" i="1"/>
  <c r="D65" i="1"/>
  <c r="D57" i="1"/>
  <c r="D61" i="1"/>
  <c r="D55" i="1"/>
  <c r="D63" i="1"/>
  <c r="D60" i="1"/>
  <c r="D56" i="1"/>
  <c r="D62" i="1"/>
  <c r="D58" i="1"/>
  <c r="D18" i="1"/>
  <c r="D15" i="1"/>
  <c r="D16" i="1"/>
  <c r="D17" i="1"/>
  <c r="D19" i="1"/>
  <c r="H397" i="2"/>
  <c r="I399" i="2"/>
  <c r="I391" i="2"/>
  <c r="J402" i="2"/>
  <c r="J394" i="2"/>
  <c r="J404" i="2"/>
  <c r="H389" i="2"/>
  <c r="I405" i="2"/>
  <c r="I387" i="2"/>
  <c r="I385" i="2"/>
  <c r="J405" i="2"/>
  <c r="J397" i="2"/>
  <c r="H377" i="2"/>
  <c r="J393" i="2"/>
  <c r="I400" i="2"/>
  <c r="I374" i="2"/>
  <c r="I383" i="2"/>
  <c r="I375" i="2"/>
  <c r="J312" i="2"/>
  <c r="J307" i="2"/>
  <c r="J299" i="2"/>
  <c r="J271" i="2"/>
  <c r="H254" i="2"/>
  <c r="H314" i="2"/>
  <c r="H303" i="2"/>
  <c r="H295" i="2"/>
  <c r="I253" i="2"/>
  <c r="J313" i="2"/>
  <c r="J305" i="2"/>
  <c r="J297" i="2"/>
  <c r="H262" i="2"/>
  <c r="H252" i="2"/>
  <c r="I246" i="2"/>
  <c r="H380" i="2"/>
  <c r="H372" i="2"/>
  <c r="H364" i="2"/>
  <c r="H356" i="2"/>
  <c r="H348" i="2"/>
  <c r="H340" i="2"/>
  <c r="H332" i="2"/>
  <c r="H324" i="2"/>
  <c r="H309" i="2"/>
  <c r="H301" i="2"/>
  <c r="I294" i="2"/>
  <c r="H292" i="2"/>
  <c r="J291" i="2"/>
  <c r="H286" i="2"/>
  <c r="H282" i="2"/>
  <c r="H278" i="2"/>
  <c r="H274" i="2"/>
  <c r="H263" i="2"/>
  <c r="J256" i="2"/>
  <c r="H243" i="2"/>
  <c r="I236" i="2"/>
  <c r="H234" i="2"/>
  <c r="H230" i="2"/>
  <c r="H226" i="2"/>
  <c r="H220" i="2"/>
  <c r="H261" i="2"/>
  <c r="H245" i="2"/>
  <c r="I223" i="2"/>
  <c r="J290" i="2"/>
  <c r="H281" i="2"/>
  <c r="J260" i="2"/>
  <c r="J242" i="2"/>
  <c r="H235" i="2"/>
  <c r="H231" i="2"/>
  <c r="H227" i="2"/>
  <c r="H222" i="2"/>
  <c r="J219" i="2"/>
  <c r="J258" i="2"/>
  <c r="H242" i="2"/>
  <c r="J236" i="2"/>
  <c r="J228" i="2"/>
  <c r="H207" i="2"/>
  <c r="I198" i="2"/>
  <c r="I190" i="2"/>
  <c r="H216" i="2"/>
  <c r="H212" i="2"/>
  <c r="H205" i="2"/>
  <c r="I200" i="2"/>
  <c r="H192" i="2"/>
  <c r="I203" i="2"/>
  <c r="J195" i="2"/>
  <c r="H219" i="2"/>
  <c r="H215" i="2"/>
  <c r="H206" i="2"/>
  <c r="H201" i="2"/>
  <c r="I184" i="2"/>
  <c r="I176" i="2"/>
  <c r="H187" i="2"/>
  <c r="H179" i="2"/>
  <c r="H171" i="2"/>
  <c r="J180" i="2"/>
  <c r="J186" i="2"/>
  <c r="H168" i="2"/>
  <c r="I397" i="2"/>
  <c r="J400" i="2"/>
  <c r="J392" i="2"/>
  <c r="I398" i="2"/>
  <c r="I390" i="2"/>
  <c r="H395" i="2"/>
  <c r="I389" i="2"/>
  <c r="H404" i="2"/>
  <c r="H386" i="2"/>
  <c r="H384" i="2"/>
  <c r="H402" i="2"/>
  <c r="H394" i="2"/>
  <c r="I377" i="2"/>
  <c r="H381" i="2"/>
  <c r="I388" i="2"/>
  <c r="H396" i="2"/>
  <c r="H379" i="2"/>
  <c r="H316" i="2"/>
  <c r="H310" i="2"/>
  <c r="H302" i="2"/>
  <c r="H270" i="2"/>
  <c r="H260" i="2"/>
  <c r="I254" i="2"/>
  <c r="J315" i="2"/>
  <c r="J304" i="2"/>
  <c r="J296" i="2"/>
  <c r="I384" i="2"/>
  <c r="H308" i="2"/>
  <c r="H300" i="2"/>
  <c r="H268" i="2"/>
  <c r="I262" i="2"/>
  <c r="J253" i="2"/>
  <c r="I247" i="2"/>
  <c r="H378" i="2"/>
  <c r="H370" i="2"/>
  <c r="H362" i="2"/>
  <c r="H354" i="2"/>
  <c r="H346" i="2"/>
  <c r="H338" i="2"/>
  <c r="H330" i="2"/>
  <c r="H322" i="2"/>
  <c r="J310" i="2"/>
  <c r="J302" i="2"/>
  <c r="H294" i="2"/>
  <c r="J293" i="2"/>
  <c r="J289" i="2"/>
  <c r="J285" i="2"/>
  <c r="J281" i="2"/>
  <c r="J277" i="2"/>
  <c r="H271" i="2"/>
  <c r="J264" i="2"/>
  <c r="J251" i="2"/>
  <c r="J244" i="2"/>
  <c r="H236" i="2"/>
  <c r="I232" i="2"/>
  <c r="I228" i="2"/>
  <c r="I224" i="2"/>
  <c r="J221" i="2"/>
  <c r="J262" i="2"/>
  <c r="J246" i="2"/>
  <c r="H223" i="2"/>
  <c r="H287" i="2"/>
  <c r="H267" i="2"/>
  <c r="H251" i="2"/>
  <c r="H237" i="2"/>
  <c r="I233" i="2"/>
  <c r="I229" i="2"/>
  <c r="I225" i="2"/>
  <c r="J223" i="2"/>
  <c r="H265" i="2"/>
  <c r="H249" i="2"/>
  <c r="J243" i="2"/>
  <c r="J234" i="2"/>
  <c r="J226" i="2"/>
  <c r="I204" i="2"/>
  <c r="H198" i="2"/>
  <c r="H190" i="2"/>
  <c r="I214" i="2"/>
  <c r="I210" i="2"/>
  <c r="I202" i="2"/>
  <c r="H200" i="2"/>
  <c r="J193" i="2"/>
  <c r="I208" i="2"/>
  <c r="H203" i="2"/>
  <c r="I221" i="2"/>
  <c r="I217" i="2"/>
  <c r="I213" i="2"/>
  <c r="I209" i="2"/>
  <c r="J207" i="2"/>
  <c r="I196" i="2"/>
  <c r="H186" i="2"/>
  <c r="H182" i="2"/>
  <c r="H174" i="2"/>
  <c r="H170" i="2"/>
  <c r="I195" i="2"/>
  <c r="I183" i="2"/>
  <c r="I175" i="2"/>
  <c r="J170" i="2"/>
  <c r="J398" i="2"/>
  <c r="I396" i="2"/>
  <c r="H401" i="2"/>
  <c r="H393" i="2"/>
  <c r="H403" i="2"/>
  <c r="I395" i="2"/>
  <c r="J390" i="2"/>
  <c r="H400" i="2"/>
  <c r="I386" i="2"/>
  <c r="I380" i="2"/>
  <c r="J401" i="2"/>
  <c r="H390" i="2"/>
  <c r="H373" i="2"/>
  <c r="I381" i="2"/>
  <c r="I382" i="2"/>
  <c r="H392" i="2"/>
  <c r="I379" i="2"/>
  <c r="J317" i="2"/>
  <c r="J311" i="2"/>
  <c r="J303" i="2"/>
  <c r="I270" i="2"/>
  <c r="J261" i="2"/>
  <c r="I255" i="2"/>
  <c r="H307" i="2"/>
  <c r="H299" i="2"/>
  <c r="H293" i="2"/>
  <c r="J316" i="2"/>
  <c r="J309" i="2"/>
  <c r="J301" i="2"/>
  <c r="J269" i="2"/>
  <c r="I263" i="2"/>
  <c r="I252" i="2"/>
  <c r="J247" i="2"/>
  <c r="H376" i="2"/>
  <c r="H368" i="2"/>
  <c r="H360" i="2"/>
  <c r="H352" i="2"/>
  <c r="H344" i="2"/>
  <c r="H336" i="2"/>
  <c r="H328" i="2"/>
  <c r="H320" i="2"/>
  <c r="H305" i="2"/>
  <c r="H297" i="2"/>
  <c r="J295" i="2"/>
  <c r="I290" i="2"/>
  <c r="H288" i="2"/>
  <c r="H284" i="2"/>
  <c r="H280" i="2"/>
  <c r="H276" i="2"/>
  <c r="J272" i="2"/>
  <c r="J259" i="2"/>
  <c r="H247" i="2"/>
  <c r="H239" i="2"/>
  <c r="J237" i="2"/>
  <c r="H232" i="2"/>
  <c r="H228" i="2"/>
  <c r="H224" i="2"/>
  <c r="H269" i="2"/>
  <c r="H253" i="2"/>
  <c r="H240" i="2"/>
  <c r="J294" i="2"/>
  <c r="H285" i="2"/>
  <c r="J268" i="2"/>
  <c r="J252" i="2"/>
  <c r="J238" i="2"/>
  <c r="H233" i="2"/>
  <c r="H229" i="2"/>
  <c r="H225" i="2"/>
  <c r="I218" i="2"/>
  <c r="J266" i="2"/>
  <c r="J250" i="2"/>
  <c r="H238" i="2"/>
  <c r="J232" i="2"/>
  <c r="J224" i="2"/>
  <c r="H204" i="2"/>
  <c r="J199" i="2"/>
  <c r="J191" i="2"/>
  <c r="H214" i="2"/>
  <c r="H210" i="2"/>
  <c r="H202" i="2"/>
  <c r="J201" i="2"/>
  <c r="J217" i="2"/>
  <c r="H208" i="2"/>
  <c r="I194" i="2"/>
  <c r="H221" i="2"/>
  <c r="H217" i="2"/>
  <c r="H213" i="2"/>
  <c r="H209" i="2"/>
  <c r="J204" i="2"/>
  <c r="H196" i="2"/>
  <c r="I186" i="2"/>
  <c r="I182" i="2"/>
  <c r="I178" i="2"/>
  <c r="I174" i="2"/>
  <c r="I170" i="2"/>
  <c r="I193" i="2"/>
  <c r="H185" i="2"/>
  <c r="H181" i="2"/>
  <c r="H177" i="2"/>
  <c r="H173" i="2"/>
  <c r="H169" i="2"/>
  <c r="J184" i="2"/>
  <c r="H399" i="2"/>
  <c r="H391" i="2"/>
  <c r="I401" i="2"/>
  <c r="I393" i="2"/>
  <c r="I403" i="2"/>
  <c r="J396" i="2"/>
  <c r="H405" i="2"/>
  <c r="H387" i="2"/>
  <c r="H385" i="2"/>
  <c r="I376" i="2"/>
  <c r="H398" i="2"/>
  <c r="J389" i="2"/>
  <c r="I373" i="2"/>
  <c r="I404" i="2"/>
  <c r="I378" i="2"/>
  <c r="H383" i="2"/>
  <c r="H375" i="2"/>
  <c r="H315" i="2"/>
  <c r="H306" i="2"/>
  <c r="H298" i="2"/>
  <c r="I271" i="2"/>
  <c r="I260" i="2"/>
  <c r="J255" i="2"/>
  <c r="J308" i="2"/>
  <c r="J300" i="2"/>
  <c r="I269" i="2"/>
  <c r="H312" i="2"/>
  <c r="H304" i="2"/>
  <c r="H296" i="2"/>
  <c r="I268" i="2"/>
  <c r="J263" i="2"/>
  <c r="H246" i="2"/>
  <c r="H382" i="2"/>
  <c r="H374" i="2"/>
  <c r="H366" i="2"/>
  <c r="H358" i="2"/>
  <c r="H350" i="2"/>
  <c r="H342" i="2"/>
  <c r="H334" i="2"/>
  <c r="H326" i="2"/>
  <c r="I316" i="2"/>
  <c r="J306" i="2"/>
  <c r="J298" i="2"/>
  <c r="I292" i="2"/>
  <c r="H290" i="2"/>
  <c r="J287" i="2"/>
  <c r="J283" i="2"/>
  <c r="J279" i="2"/>
  <c r="J275" i="2"/>
  <c r="J267" i="2"/>
  <c r="H255" i="2"/>
  <c r="J248" i="2"/>
  <c r="J240" i="2"/>
  <c r="I234" i="2"/>
  <c r="I230" i="2"/>
  <c r="I226" i="2"/>
  <c r="I220" i="2"/>
  <c r="J270" i="2"/>
  <c r="J254" i="2"/>
  <c r="J241" i="2"/>
  <c r="J292" i="2"/>
  <c r="H283" i="2"/>
  <c r="H259" i="2"/>
  <c r="H241" i="2"/>
  <c r="I235" i="2"/>
  <c r="I231" i="2"/>
  <c r="I227" i="2"/>
  <c r="I222" i="2"/>
  <c r="H218" i="2"/>
  <c r="H257" i="2"/>
  <c r="J245" i="2"/>
  <c r="J239" i="2"/>
  <c r="J230" i="2"/>
  <c r="I207" i="2"/>
  <c r="J205" i="2"/>
  <c r="H195" i="2"/>
  <c r="I216" i="2"/>
  <c r="I212" i="2"/>
  <c r="I205" i="2"/>
  <c r="J203" i="2"/>
  <c r="I192" i="2"/>
  <c r="J215" i="2"/>
  <c r="J209" i="2"/>
  <c r="H194" i="2"/>
  <c r="I219" i="2"/>
  <c r="I215" i="2"/>
  <c r="I211" i="2"/>
  <c r="I206" i="2"/>
  <c r="I201" i="2"/>
  <c r="J197" i="2"/>
  <c r="H184" i="2"/>
  <c r="H180" i="2"/>
  <c r="H176" i="2"/>
  <c r="H172" i="2"/>
  <c r="I199" i="2"/>
  <c r="I191" i="2"/>
  <c r="I185" i="2"/>
  <c r="I181" i="2"/>
  <c r="I177" i="2"/>
  <c r="I173" i="2"/>
  <c r="I169" i="2"/>
  <c r="J182" i="2"/>
  <c r="J174" i="2"/>
  <c r="I168" i="2"/>
  <c r="J213" i="2"/>
  <c r="H211" i="2"/>
  <c r="H193" i="2"/>
  <c r="I180" i="2"/>
  <c r="I172" i="2"/>
  <c r="I197" i="2"/>
  <c r="H183" i="2"/>
  <c r="H175" i="2"/>
  <c r="I188" i="2"/>
  <c r="J172" i="2"/>
  <c r="H178" i="2"/>
  <c r="I187" i="2"/>
  <c r="I179" i="2"/>
  <c r="I171" i="2"/>
  <c r="J178" i="2"/>
  <c r="J176" i="2"/>
  <c r="H166" i="2"/>
  <c r="H160" i="2"/>
  <c r="I151" i="2"/>
  <c r="H137" i="2"/>
  <c r="J161" i="2"/>
  <c r="I150" i="2"/>
  <c r="H146" i="2"/>
  <c r="H142" i="2"/>
  <c r="H136" i="2"/>
  <c r="H128" i="2"/>
  <c r="H120" i="2"/>
  <c r="I165" i="2"/>
  <c r="H159" i="2"/>
  <c r="J154" i="2"/>
  <c r="H149" i="2"/>
  <c r="I141" i="2"/>
  <c r="H133" i="2"/>
  <c r="H125" i="2"/>
  <c r="H163" i="2"/>
  <c r="J160" i="2"/>
  <c r="I152" i="2"/>
  <c r="J149" i="2"/>
  <c r="H144" i="2"/>
  <c r="I127" i="2"/>
  <c r="H119" i="2"/>
  <c r="I158" i="2"/>
  <c r="H147" i="2"/>
  <c r="I129" i="2"/>
  <c r="H121" i="2"/>
  <c r="I132" i="2"/>
  <c r="H113" i="2"/>
  <c r="H105" i="2"/>
  <c r="H101" i="2"/>
  <c r="I128" i="2"/>
  <c r="I114" i="2"/>
  <c r="I106" i="2"/>
  <c r="J115" i="2"/>
  <c r="I99" i="2"/>
  <c r="I100" i="2"/>
  <c r="H162" i="2"/>
  <c r="J156" i="2"/>
  <c r="J152" i="2"/>
  <c r="J138" i="2"/>
  <c r="I154" i="2"/>
  <c r="J151" i="2"/>
  <c r="J147" i="2"/>
  <c r="I139" i="2"/>
  <c r="I131" i="2"/>
  <c r="I123" i="2"/>
  <c r="H167" i="2"/>
  <c r="H161" i="2"/>
  <c r="I157" i="2"/>
  <c r="H153" i="2"/>
  <c r="I145" i="2"/>
  <c r="H141" i="2"/>
  <c r="J134" i="2"/>
  <c r="J126" i="2"/>
  <c r="J166" i="2"/>
  <c r="J158" i="2"/>
  <c r="J153" i="2"/>
  <c r="H148" i="2"/>
  <c r="I135" i="2"/>
  <c r="H127" i="2"/>
  <c r="J120" i="2"/>
  <c r="H158" i="2"/>
  <c r="I143" i="2"/>
  <c r="H129" i="2"/>
  <c r="J122" i="2"/>
  <c r="I117" i="2"/>
  <c r="I113" i="2"/>
  <c r="I109" i="2"/>
  <c r="I105" i="2"/>
  <c r="I101" i="2"/>
  <c r="I136" i="2"/>
  <c r="I126" i="2"/>
  <c r="H116" i="2"/>
  <c r="H108" i="2"/>
  <c r="H104" i="2"/>
  <c r="J113" i="2"/>
  <c r="J103" i="2"/>
  <c r="I162" i="2"/>
  <c r="H155" i="2"/>
  <c r="H151" i="2"/>
  <c r="J167" i="2"/>
  <c r="H154" i="2"/>
  <c r="H150" i="2"/>
  <c r="I142" i="2"/>
  <c r="H139" i="2"/>
  <c r="H131" i="2"/>
  <c r="H123" i="2"/>
  <c r="I167" i="2"/>
  <c r="I161" i="2"/>
  <c r="H157" i="2"/>
  <c r="I149" i="2"/>
  <c r="J146" i="2"/>
  <c r="J142" i="2"/>
  <c r="H130" i="2"/>
  <c r="H122" i="2"/>
  <c r="J164" i="2"/>
  <c r="I156" i="2"/>
  <c r="H152" i="2"/>
  <c r="I144" i="2"/>
  <c r="H135" i="2"/>
  <c r="J128" i="2"/>
  <c r="H164" i="2"/>
  <c r="I147" i="2"/>
  <c r="H143" i="2"/>
  <c r="J130" i="2"/>
  <c r="I140" i="2"/>
  <c r="H115" i="2"/>
  <c r="H111" i="2"/>
  <c r="H107" i="2"/>
  <c r="H103" i="2"/>
  <c r="H140" i="2"/>
  <c r="I134" i="2"/>
  <c r="I124" i="2"/>
  <c r="I116" i="2"/>
  <c r="I112" i="2"/>
  <c r="I108" i="2"/>
  <c r="J111" i="2"/>
  <c r="I166" i="2"/>
  <c r="I160" i="2"/>
  <c r="I155" i="2"/>
  <c r="I137" i="2"/>
  <c r="J163" i="2"/>
  <c r="J155" i="2"/>
  <c r="I146" i="2"/>
  <c r="J143" i="2"/>
  <c r="J140" i="2"/>
  <c r="J132" i="2"/>
  <c r="J124" i="2"/>
  <c r="H165" i="2"/>
  <c r="I159" i="2"/>
  <c r="I153" i="2"/>
  <c r="J150" i="2"/>
  <c r="H145" i="2"/>
  <c r="I133" i="2"/>
  <c r="I125" i="2"/>
  <c r="I163" i="2"/>
  <c r="J162" i="2"/>
  <c r="H156" i="2"/>
  <c r="I148" i="2"/>
  <c r="J145" i="2"/>
  <c r="J136" i="2"/>
  <c r="I119" i="2"/>
  <c r="I164" i="2"/>
  <c r="J148" i="2"/>
  <c r="J144" i="2"/>
  <c r="I121" i="2"/>
  <c r="I138" i="2"/>
  <c r="I115" i="2"/>
  <c r="I111" i="2"/>
  <c r="I107" i="2"/>
  <c r="I103" i="2"/>
  <c r="H138" i="2"/>
  <c r="I130" i="2"/>
  <c r="I122" i="2"/>
  <c r="H114" i="2"/>
  <c r="H110" i="2"/>
  <c r="H106" i="2"/>
  <c r="H102" i="2"/>
  <c r="H117" i="2"/>
  <c r="J109" i="2"/>
  <c r="J101" i="2"/>
  <c r="H109" i="2"/>
  <c r="H132" i="2"/>
  <c r="I120" i="2"/>
  <c r="I110" i="2"/>
  <c r="I102" i="2"/>
  <c r="J107" i="2"/>
  <c r="H99" i="2"/>
  <c r="H112" i="2"/>
  <c r="H100" i="2"/>
  <c r="J105" i="2"/>
  <c r="I104" i="2"/>
  <c r="G7" i="3"/>
  <c r="H98" i="2"/>
  <c r="J92" i="2"/>
  <c r="I87" i="2"/>
  <c r="H82" i="2"/>
  <c r="J76" i="2"/>
  <c r="I92" i="2"/>
  <c r="I80" i="2"/>
  <c r="J83" i="2"/>
  <c r="I95" i="2"/>
  <c r="H74" i="2"/>
  <c r="J75" i="2"/>
  <c r="J96" i="2"/>
  <c r="I91" i="2"/>
  <c r="H86" i="2"/>
  <c r="J80" i="2"/>
  <c r="I75" i="2"/>
  <c r="H91" i="2"/>
  <c r="J95" i="2"/>
  <c r="J79" i="2"/>
  <c r="I79" i="2"/>
  <c r="J91" i="2"/>
  <c r="J84" i="2"/>
  <c r="H96" i="2"/>
  <c r="H94" i="2"/>
  <c r="J88" i="2"/>
  <c r="I83" i="2"/>
  <c r="H78" i="2"/>
  <c r="I96" i="2"/>
  <c r="I84" i="2"/>
  <c r="J87" i="2"/>
  <c r="H90" i="2"/>
  <c r="I88" i="2"/>
  <c r="I70" i="2"/>
  <c r="H65" i="2"/>
  <c r="J59" i="2"/>
  <c r="I54" i="2"/>
  <c r="J66" i="2"/>
  <c r="H69" i="2"/>
  <c r="J63" i="2"/>
  <c r="I58" i="2"/>
  <c r="H53" i="2"/>
  <c r="J62" i="2"/>
  <c r="J67" i="2"/>
  <c r="I62" i="2"/>
  <c r="H57" i="2"/>
  <c r="I71" i="2"/>
  <c r="I51" i="2"/>
  <c r="J58" i="2"/>
  <c r="I66" i="2"/>
  <c r="H61" i="2"/>
  <c r="J55" i="2"/>
  <c r="H70" i="2"/>
  <c r="J70" i="2"/>
  <c r="J54" i="2"/>
  <c r="I67" i="2"/>
  <c r="I63" i="2"/>
  <c r="J71" i="2"/>
  <c r="J11" i="2"/>
  <c r="I11" i="2"/>
  <c r="I8" i="2"/>
  <c r="J10" i="2"/>
  <c r="I22" i="2"/>
  <c r="I30" i="2"/>
  <c r="I38" i="2"/>
  <c r="I46" i="2"/>
  <c r="H50" i="2"/>
  <c r="I24" i="2"/>
  <c r="I32" i="2"/>
  <c r="I40" i="2"/>
  <c r="I13" i="2"/>
  <c r="I19" i="2"/>
  <c r="I27" i="2"/>
  <c r="I33" i="2"/>
  <c r="I37" i="2"/>
  <c r="I41" i="2"/>
  <c r="I45" i="2"/>
  <c r="H48" i="2"/>
  <c r="H21" i="2"/>
  <c r="H31" i="2"/>
  <c r="J19" i="2"/>
  <c r="J27" i="2"/>
  <c r="J35" i="2"/>
  <c r="I10" i="2"/>
  <c r="H11" i="2"/>
  <c r="H8" i="2"/>
  <c r="H9" i="2"/>
  <c r="H22" i="2"/>
  <c r="H30" i="2"/>
  <c r="H38" i="2"/>
  <c r="H46" i="2"/>
  <c r="H24" i="2"/>
  <c r="H32" i="2"/>
  <c r="H40" i="2"/>
  <c r="I47" i="2"/>
  <c r="H19" i="2"/>
  <c r="H27" i="2"/>
  <c r="H33" i="2"/>
  <c r="H37" i="2"/>
  <c r="H41" i="2"/>
  <c r="H45" i="2"/>
  <c r="J49" i="2"/>
  <c r="I17" i="2"/>
  <c r="I25" i="2"/>
  <c r="H15" i="2"/>
  <c r="J21" i="2"/>
  <c r="J29" i="2"/>
  <c r="J37" i="2"/>
  <c r="J45" i="2"/>
  <c r="H39" i="2"/>
  <c r="I21" i="2"/>
  <c r="J33" i="2"/>
  <c r="J43" i="2"/>
  <c r="H10" i="2"/>
  <c r="H12" i="2"/>
  <c r="J9" i="2"/>
  <c r="I18" i="2"/>
  <c r="I26" i="2"/>
  <c r="I34" i="2"/>
  <c r="I42" i="2"/>
  <c r="J47" i="2"/>
  <c r="I20" i="2"/>
  <c r="I28" i="2"/>
  <c r="I36" i="2"/>
  <c r="I44" i="2"/>
  <c r="H47" i="2"/>
  <c r="I23" i="2"/>
  <c r="I29" i="2"/>
  <c r="I35" i="2"/>
  <c r="I39" i="2"/>
  <c r="I43" i="2"/>
  <c r="J46" i="2"/>
  <c r="H17" i="2"/>
  <c r="H25" i="2"/>
  <c r="H16" i="2"/>
  <c r="J23" i="2"/>
  <c r="J31" i="2"/>
  <c r="J39" i="2"/>
  <c r="I49" i="2"/>
  <c r="I9" i="2"/>
  <c r="H26" i="2"/>
  <c r="H34" i="2"/>
  <c r="I50" i="2"/>
  <c r="H20" i="2"/>
  <c r="H36" i="2"/>
  <c r="H44" i="2"/>
  <c r="I16" i="2"/>
  <c r="H23" i="2"/>
  <c r="H29" i="2"/>
  <c r="H43" i="2"/>
  <c r="I31" i="2"/>
  <c r="J25" i="2"/>
  <c r="H49" i="2"/>
  <c r="J50" i="2"/>
  <c r="I12" i="2"/>
  <c r="J12" i="2"/>
  <c r="H18" i="2"/>
  <c r="H42" i="2"/>
  <c r="H28" i="2"/>
  <c r="J48" i="2"/>
  <c r="H35" i="2"/>
  <c r="I48" i="2"/>
  <c r="J17" i="2"/>
  <c r="J41" i="2"/>
  <c r="M155" i="1"/>
  <c r="M121" i="1"/>
  <c r="M152" i="1"/>
  <c r="M144" i="1"/>
  <c r="M136" i="1"/>
  <c r="M128" i="1"/>
  <c r="M120" i="1"/>
  <c r="M153" i="1"/>
  <c r="M149" i="1"/>
  <c r="M145" i="1"/>
  <c r="M141" i="1"/>
  <c r="M137" i="1"/>
  <c r="M133" i="1"/>
  <c r="M129" i="1"/>
  <c r="M125" i="1"/>
  <c r="M150" i="1"/>
  <c r="M142" i="1"/>
  <c r="M134" i="1"/>
  <c r="M126" i="1"/>
  <c r="M157" i="1"/>
  <c r="M123" i="1"/>
  <c r="M119" i="1"/>
  <c r="M156" i="1"/>
  <c r="M148" i="1"/>
  <c r="M140" i="1"/>
  <c r="M132" i="1"/>
  <c r="M124" i="1"/>
  <c r="M151" i="1"/>
  <c r="M147" i="1"/>
  <c r="M143" i="1"/>
  <c r="M139" i="1"/>
  <c r="M135" i="1"/>
  <c r="M131" i="1"/>
  <c r="M127" i="1"/>
  <c r="M117" i="1"/>
  <c r="M154" i="1"/>
  <c r="M146" i="1"/>
  <c r="M138" i="1"/>
  <c r="M130" i="1"/>
  <c r="M122" i="1"/>
  <c r="D1" i="1"/>
  <c r="D7" i="1"/>
  <c r="D5" i="1"/>
  <c r="D3" i="1"/>
  <c r="D6" i="1"/>
  <c r="D4" i="1"/>
  <c r="D2" i="1"/>
  <c r="D8" i="1"/>
  <c r="K176" i="2" l="1"/>
  <c r="K182" i="2"/>
  <c r="K197" i="2"/>
  <c r="K169" i="2"/>
  <c r="K170" i="2" s="1"/>
  <c r="K177" i="2"/>
  <c r="K191" i="2"/>
  <c r="K190" i="2"/>
  <c r="K198" i="2"/>
  <c r="K400" i="2"/>
  <c r="K401" i="2" s="1"/>
  <c r="K192" i="2"/>
  <c r="L168" i="2"/>
  <c r="M168" i="2"/>
  <c r="H7" i="3"/>
  <c r="F8" i="3"/>
  <c r="K8" i="2"/>
  <c r="L8" i="2" s="1"/>
  <c r="M7" i="2"/>
  <c r="N7" i="2" s="1"/>
  <c r="N87" i="1"/>
  <c r="N88" i="1"/>
  <c r="N82" i="1"/>
  <c r="N83" i="1"/>
  <c r="N84" i="1" s="1"/>
  <c r="L24" i="1"/>
  <c r="K24" i="1"/>
  <c r="J14" i="1"/>
  <c r="E44" i="1"/>
  <c r="F44" i="1" s="1"/>
  <c r="E45" i="1"/>
  <c r="E46" i="1"/>
  <c r="E47" i="1"/>
  <c r="E48" i="1"/>
  <c r="E55" i="1"/>
  <c r="E54" i="1"/>
  <c r="E52" i="1"/>
  <c r="E50" i="1"/>
  <c r="E53" i="1"/>
  <c r="E49" i="1"/>
  <c r="E51" i="1"/>
  <c r="E56" i="1"/>
  <c r="E58" i="1"/>
  <c r="E57" i="1"/>
  <c r="E61" i="1"/>
  <c r="E60" i="1"/>
  <c r="E59" i="1"/>
  <c r="E65" i="1"/>
  <c r="E64" i="1"/>
  <c r="E63" i="1"/>
  <c r="E62" i="1"/>
  <c r="J43" i="1"/>
  <c r="E15" i="1"/>
  <c r="F15" i="1" s="1"/>
  <c r="F16" i="1" s="1"/>
  <c r="F17" i="1" s="1"/>
  <c r="E18" i="1"/>
  <c r="E17" i="1"/>
  <c r="E16" i="1"/>
  <c r="E19" i="1"/>
  <c r="M80" i="1"/>
  <c r="M78" i="1"/>
  <c r="M84" i="1"/>
  <c r="M82" i="1"/>
  <c r="G44" i="1"/>
  <c r="G8" i="3"/>
  <c r="L401" i="2" l="1"/>
  <c r="M401" i="2"/>
  <c r="K402" i="2"/>
  <c r="L170" i="2"/>
  <c r="M170" i="2"/>
  <c r="K171" i="2"/>
  <c r="M198" i="2"/>
  <c r="L198" i="2"/>
  <c r="M190" i="2"/>
  <c r="L190" i="2"/>
  <c r="K183" i="2"/>
  <c r="M192" i="2"/>
  <c r="L192" i="2"/>
  <c r="L400" i="2"/>
  <c r="M400" i="2"/>
  <c r="L177" i="2"/>
  <c r="M177" i="2"/>
  <c r="K193" i="2"/>
  <c r="K199" i="2"/>
  <c r="K178" i="2"/>
  <c r="M191" i="2"/>
  <c r="L191" i="2"/>
  <c r="L169" i="2"/>
  <c r="M169" i="2"/>
  <c r="M197" i="2"/>
  <c r="L197" i="2"/>
  <c r="L176" i="2"/>
  <c r="M176" i="2"/>
  <c r="H8" i="3"/>
  <c r="F9" i="3"/>
  <c r="M8" i="2"/>
  <c r="N8" i="2" s="1"/>
  <c r="K9" i="2"/>
  <c r="L9" i="2" s="1"/>
  <c r="N90" i="1"/>
  <c r="N89" i="1"/>
  <c r="N75" i="1"/>
  <c r="O75" i="1" s="1"/>
  <c r="L14" i="1"/>
  <c r="K14" i="1"/>
  <c r="H44" i="1"/>
  <c r="F45" i="1"/>
  <c r="L43" i="1"/>
  <c r="K43" i="1"/>
  <c r="J44" i="1"/>
  <c r="G16" i="1"/>
  <c r="G17" i="1"/>
  <c r="G15" i="1"/>
  <c r="J25" i="1" s="1"/>
  <c r="L25" i="1" s="1"/>
  <c r="M44" i="1"/>
  <c r="F18" i="1"/>
  <c r="G45" i="1"/>
  <c r="F19" i="1"/>
  <c r="G9" i="3"/>
  <c r="L178" i="2" l="1"/>
  <c r="M178" i="2"/>
  <c r="K179" i="2"/>
  <c r="L171" i="2"/>
  <c r="M171" i="2"/>
  <c r="K172" i="2"/>
  <c r="M199" i="2"/>
  <c r="L199" i="2"/>
  <c r="K200" i="2"/>
  <c r="L183" i="2"/>
  <c r="M183" i="2"/>
  <c r="K184" i="2"/>
  <c r="M193" i="2"/>
  <c r="L193" i="2"/>
  <c r="K194" i="2"/>
  <c r="L402" i="2"/>
  <c r="M402" i="2"/>
  <c r="K403" i="2"/>
  <c r="H9" i="3"/>
  <c r="F10" i="3"/>
  <c r="M9" i="2"/>
  <c r="N9" i="2" s="1"/>
  <c r="K10" i="2"/>
  <c r="L10" i="2" s="1"/>
  <c r="N91" i="1"/>
  <c r="N76" i="1"/>
  <c r="O76" i="1" s="1"/>
  <c r="H45" i="1"/>
  <c r="F46" i="1"/>
  <c r="K44" i="1"/>
  <c r="L44" i="1"/>
  <c r="G18" i="1"/>
  <c r="J18" i="1" s="1"/>
  <c r="J28" i="1"/>
  <c r="J27" i="1"/>
  <c r="K25" i="1"/>
  <c r="J17" i="1"/>
  <c r="K17" i="1" s="1"/>
  <c r="J30" i="1"/>
  <c r="J16" i="1"/>
  <c r="K16" i="1" s="1"/>
  <c r="J29" i="1"/>
  <c r="J15" i="1"/>
  <c r="L15" i="1" s="1"/>
  <c r="J26" i="1"/>
  <c r="L26" i="1" s="1"/>
  <c r="G19" i="1"/>
  <c r="G46" i="1"/>
  <c r="G10" i="3"/>
  <c r="M194" i="2" l="1"/>
  <c r="L194" i="2"/>
  <c r="K195" i="2"/>
  <c r="L403" i="2"/>
  <c r="M403" i="2"/>
  <c r="K404" i="2"/>
  <c r="L172" i="2"/>
  <c r="M172" i="2"/>
  <c r="K173" i="2"/>
  <c r="M200" i="2"/>
  <c r="L200" i="2"/>
  <c r="K201" i="2"/>
  <c r="L184" i="2"/>
  <c r="M184" i="2"/>
  <c r="K185" i="2"/>
  <c r="L179" i="2"/>
  <c r="M179" i="2"/>
  <c r="K180" i="2"/>
  <c r="H10" i="3"/>
  <c r="F11" i="3"/>
  <c r="M10" i="2"/>
  <c r="N10" i="2" s="1"/>
  <c r="K11" i="2"/>
  <c r="L11" i="2" s="1"/>
  <c r="N92" i="1"/>
  <c r="N77" i="1"/>
  <c r="H46" i="1"/>
  <c r="F47" i="1"/>
  <c r="J46" i="1"/>
  <c r="J45" i="1"/>
  <c r="K18" i="1"/>
  <c r="L18" i="1"/>
  <c r="J31" i="1"/>
  <c r="L31" i="1" s="1"/>
  <c r="J32" i="1"/>
  <c r="J34" i="1"/>
  <c r="J33" i="1"/>
  <c r="L29" i="1"/>
  <c r="L27" i="1"/>
  <c r="L30" i="1"/>
  <c r="L28" i="1"/>
  <c r="K26" i="1"/>
  <c r="K29" i="1"/>
  <c r="K27" i="1"/>
  <c r="K30" i="1"/>
  <c r="K28" i="1"/>
  <c r="L17" i="1"/>
  <c r="L16" i="1"/>
  <c r="K15" i="1"/>
  <c r="J19" i="1"/>
  <c r="K19" i="1" s="1"/>
  <c r="J35" i="1"/>
  <c r="G47" i="1"/>
  <c r="M45" i="1"/>
  <c r="M46" i="1"/>
  <c r="G11" i="3"/>
  <c r="L185" i="2" l="1"/>
  <c r="M185" i="2"/>
  <c r="K186" i="2"/>
  <c r="M195" i="2"/>
  <c r="L195" i="2"/>
  <c r="M196" i="2"/>
  <c r="L196" i="2"/>
  <c r="L180" i="2"/>
  <c r="M180" i="2"/>
  <c r="K181" i="2"/>
  <c r="L404" i="2"/>
  <c r="M404" i="2"/>
  <c r="K405" i="2"/>
  <c r="L173" i="2"/>
  <c r="M173" i="2"/>
  <c r="K174" i="2"/>
  <c r="M201" i="2"/>
  <c r="L201" i="2"/>
  <c r="K202" i="2"/>
  <c r="H11" i="3"/>
  <c r="F12" i="3"/>
  <c r="M11" i="2"/>
  <c r="N11" i="2" s="1"/>
  <c r="K12" i="2"/>
  <c r="L12" i="2" s="1"/>
  <c r="N93" i="1"/>
  <c r="N94" i="1"/>
  <c r="L35" i="1"/>
  <c r="L33" i="1"/>
  <c r="O77" i="1"/>
  <c r="N78" i="1"/>
  <c r="K33" i="1"/>
  <c r="H47" i="1"/>
  <c r="F48" i="1"/>
  <c r="J47" i="1"/>
  <c r="L47" i="1" s="1"/>
  <c r="L46" i="1"/>
  <c r="K46" i="1"/>
  <c r="K45" i="1"/>
  <c r="L45" i="1"/>
  <c r="K31" i="1"/>
  <c r="N23" i="1" s="1"/>
  <c r="N22" i="1" s="1"/>
  <c r="L32" i="1"/>
  <c r="L34" i="1"/>
  <c r="N13" i="1"/>
  <c r="N12" i="1" s="1"/>
  <c r="K34" i="1"/>
  <c r="K32" i="1"/>
  <c r="K35" i="1"/>
  <c r="L19" i="1"/>
  <c r="G48" i="1"/>
  <c r="M47" i="1"/>
  <c r="G12" i="3"/>
  <c r="M202" i="2" l="1"/>
  <c r="L202" i="2"/>
  <c r="K203" i="2"/>
  <c r="L186" i="2"/>
  <c r="M186" i="2"/>
  <c r="K187" i="2"/>
  <c r="L181" i="2"/>
  <c r="M181" i="2"/>
  <c r="L182" i="2"/>
  <c r="M182" i="2"/>
  <c r="L405" i="2"/>
  <c r="M405" i="2"/>
  <c r="L174" i="2"/>
  <c r="M174" i="2"/>
  <c r="M175" i="2"/>
  <c r="L175" i="2"/>
  <c r="H12" i="3"/>
  <c r="F13" i="3"/>
  <c r="M12" i="2"/>
  <c r="N12" i="2" s="1"/>
  <c r="K13" i="2"/>
  <c r="L13" i="2" s="1"/>
  <c r="N95" i="1"/>
  <c r="O78" i="1"/>
  <c r="N44" i="1"/>
  <c r="O44" i="1" s="1"/>
  <c r="H48" i="1"/>
  <c r="F49" i="1"/>
  <c r="J48" i="1"/>
  <c r="L48" i="1" s="1"/>
  <c r="K47" i="1"/>
  <c r="M48" i="1"/>
  <c r="G49" i="1"/>
  <c r="G13" i="3"/>
  <c r="M203" i="2" l="1"/>
  <c r="L203" i="2"/>
  <c r="K204" i="2"/>
  <c r="M187" i="2"/>
  <c r="L187" i="2"/>
  <c r="K188" i="2"/>
  <c r="K105" i="2"/>
  <c r="H13" i="3"/>
  <c r="F14" i="3"/>
  <c r="M13" i="2"/>
  <c r="N13" i="2" s="1"/>
  <c r="K14" i="2"/>
  <c r="L14" i="2" s="1"/>
  <c r="N96" i="1"/>
  <c r="N97" i="1" s="1"/>
  <c r="O80" i="1"/>
  <c r="O79" i="1"/>
  <c r="N45" i="1"/>
  <c r="H49" i="1"/>
  <c r="F50" i="1"/>
  <c r="K48" i="1"/>
  <c r="J49" i="1"/>
  <c r="L49" i="1" s="1"/>
  <c r="M49" i="1"/>
  <c r="G50" i="1"/>
  <c r="G14" i="3"/>
  <c r="M204" i="2" l="1"/>
  <c r="L204" i="2"/>
  <c r="K205" i="2"/>
  <c r="M188" i="2"/>
  <c r="L188" i="2"/>
  <c r="M189" i="2"/>
  <c r="L189" i="2"/>
  <c r="K106" i="2"/>
  <c r="L106" i="2" s="1"/>
  <c r="H14" i="3"/>
  <c r="F15" i="3"/>
  <c r="M14" i="2"/>
  <c r="N14" i="2" s="1"/>
  <c r="K15" i="2"/>
  <c r="L15" i="2" s="1"/>
  <c r="N98" i="1"/>
  <c r="O82" i="1"/>
  <c r="O81" i="1"/>
  <c r="O45" i="1"/>
  <c r="N46" i="1"/>
  <c r="H50" i="1"/>
  <c r="F51" i="1"/>
  <c r="G51" i="1" s="1"/>
  <c r="J50" i="1"/>
  <c r="L50" i="1" s="1"/>
  <c r="K49" i="1"/>
  <c r="M50" i="1"/>
  <c r="G15" i="3"/>
  <c r="M205" i="2" l="1"/>
  <c r="L205" i="2"/>
  <c r="K206" i="2"/>
  <c r="M106" i="2"/>
  <c r="N106" i="2" s="1"/>
  <c r="K107" i="2"/>
  <c r="L107" i="2" s="1"/>
  <c r="H15" i="3"/>
  <c r="F16" i="3"/>
  <c r="M15" i="2"/>
  <c r="N15" i="2" s="1"/>
  <c r="K16" i="2"/>
  <c r="L16" i="2" s="1"/>
  <c r="N99" i="1"/>
  <c r="N101" i="1" s="1"/>
  <c r="N100" i="1"/>
  <c r="O83" i="1"/>
  <c r="N47" i="1"/>
  <c r="H51" i="1"/>
  <c r="K50" i="1"/>
  <c r="F52" i="1"/>
  <c r="G52" i="1" s="1"/>
  <c r="J51" i="1"/>
  <c r="O46" i="1"/>
  <c r="M51" i="1"/>
  <c r="G16" i="3"/>
  <c r="M206" i="2" l="1"/>
  <c r="L206" i="2"/>
  <c r="K207" i="2"/>
  <c r="M107" i="2"/>
  <c r="N107" i="2" s="1"/>
  <c r="K108" i="2"/>
  <c r="L108" i="2" s="1"/>
  <c r="H16" i="3"/>
  <c r="F17" i="3"/>
  <c r="M16" i="2"/>
  <c r="N16" i="2" s="1"/>
  <c r="K17" i="2"/>
  <c r="L17" i="2" s="1"/>
  <c r="O84" i="1"/>
  <c r="N48" i="1"/>
  <c r="O48" i="1" s="1"/>
  <c r="H52" i="1"/>
  <c r="O47" i="1"/>
  <c r="J52" i="1"/>
  <c r="F53" i="1"/>
  <c r="G53" i="1" s="1"/>
  <c r="L51" i="1"/>
  <c r="K51" i="1"/>
  <c r="M52" i="1"/>
  <c r="G17" i="3"/>
  <c r="M207" i="2" l="1"/>
  <c r="L207" i="2"/>
  <c r="K208" i="2"/>
  <c r="M108" i="2"/>
  <c r="N108" i="2" s="1"/>
  <c r="K109" i="2"/>
  <c r="L109" i="2" s="1"/>
  <c r="H17" i="3"/>
  <c r="F18" i="3"/>
  <c r="M17" i="2"/>
  <c r="N17" i="2" s="1"/>
  <c r="K18" i="2"/>
  <c r="L18" i="2" s="1"/>
  <c r="N49" i="1"/>
  <c r="O49" i="1" s="1"/>
  <c r="H53" i="1"/>
  <c r="J53" i="1"/>
  <c r="L53" i="1" s="1"/>
  <c r="F54" i="1"/>
  <c r="K52" i="1"/>
  <c r="L52" i="1"/>
  <c r="G54" i="1"/>
  <c r="M53" i="1"/>
  <c r="G18" i="3"/>
  <c r="M208" i="2" l="1"/>
  <c r="L208" i="2"/>
  <c r="K209" i="2"/>
  <c r="M109" i="2"/>
  <c r="N109" i="2" s="1"/>
  <c r="K110" i="2"/>
  <c r="L110" i="2" s="1"/>
  <c r="H18" i="3"/>
  <c r="F19" i="3"/>
  <c r="M18" i="2"/>
  <c r="N18" i="2" s="1"/>
  <c r="K19" i="2"/>
  <c r="L19" i="2" s="1"/>
  <c r="O86" i="1"/>
  <c r="N50" i="1"/>
  <c r="O50" i="1" s="1"/>
  <c r="H54" i="1"/>
  <c r="F55" i="1"/>
  <c r="J54" i="1"/>
  <c r="L54" i="1" s="1"/>
  <c r="K53" i="1"/>
  <c r="M54" i="1"/>
  <c r="G55" i="1"/>
  <c r="G19" i="3"/>
  <c r="M209" i="2" l="1"/>
  <c r="L209" i="2"/>
  <c r="K210" i="2"/>
  <c r="M110" i="2"/>
  <c r="N110" i="2" s="1"/>
  <c r="K111" i="2"/>
  <c r="L111" i="2" s="1"/>
  <c r="H19" i="3"/>
  <c r="F20" i="3"/>
  <c r="M19" i="2"/>
  <c r="N19" i="2" s="1"/>
  <c r="K20" i="2"/>
  <c r="L20" i="2" s="1"/>
  <c r="O88" i="1"/>
  <c r="O87" i="1"/>
  <c r="N51" i="1"/>
  <c r="H55" i="1"/>
  <c r="K54" i="1"/>
  <c r="J55" i="1"/>
  <c r="L55" i="1" s="1"/>
  <c r="F56" i="1"/>
  <c r="G56" i="1"/>
  <c r="M55" i="1"/>
  <c r="G20" i="3"/>
  <c r="M210" i="2" l="1"/>
  <c r="L210" i="2"/>
  <c r="K211" i="2"/>
  <c r="M111" i="2"/>
  <c r="N111" i="2" s="1"/>
  <c r="K112" i="2"/>
  <c r="L112" i="2" s="1"/>
  <c r="H20" i="3"/>
  <c r="F21" i="3"/>
  <c r="M20" i="2"/>
  <c r="N20" i="2" s="1"/>
  <c r="K21" i="2"/>
  <c r="L21" i="2" s="1"/>
  <c r="N52" i="1"/>
  <c r="O52" i="1" s="1"/>
  <c r="H56" i="1"/>
  <c r="O51" i="1"/>
  <c r="K55" i="1"/>
  <c r="J56" i="1"/>
  <c r="F57" i="1"/>
  <c r="G57" i="1"/>
  <c r="M56" i="1"/>
  <c r="G21" i="3"/>
  <c r="M211" i="2" l="1"/>
  <c r="L211" i="2"/>
  <c r="K212" i="2"/>
  <c r="M112" i="2"/>
  <c r="N112" i="2" s="1"/>
  <c r="K113" i="2"/>
  <c r="L113" i="2" s="1"/>
  <c r="H21" i="3"/>
  <c r="F22" i="3"/>
  <c r="M21" i="2"/>
  <c r="N21" i="2" s="1"/>
  <c r="K22" i="2"/>
  <c r="L22" i="2" s="1"/>
  <c r="O91" i="1"/>
  <c r="O90" i="1"/>
  <c r="N53" i="1"/>
  <c r="O53" i="1" s="1"/>
  <c r="H57" i="1"/>
  <c r="F58" i="1"/>
  <c r="J57" i="1"/>
  <c r="K56" i="1"/>
  <c r="L56" i="1"/>
  <c r="G58" i="1"/>
  <c r="M57" i="1"/>
  <c r="G22" i="3"/>
  <c r="M212" i="2" l="1"/>
  <c r="L212" i="2"/>
  <c r="K213" i="2"/>
  <c r="M113" i="2"/>
  <c r="N113" i="2" s="1"/>
  <c r="K114" i="2"/>
  <c r="L114" i="2" s="1"/>
  <c r="H22" i="3"/>
  <c r="F23" i="3"/>
  <c r="M22" i="2"/>
  <c r="N22" i="2" s="1"/>
  <c r="K23" i="2"/>
  <c r="L23" i="2" s="1"/>
  <c r="O93" i="1"/>
  <c r="O92" i="1"/>
  <c r="N54" i="1"/>
  <c r="H58" i="1"/>
  <c r="F59" i="1"/>
  <c r="J58" i="1"/>
  <c r="K57" i="1"/>
  <c r="L57" i="1"/>
  <c r="G59" i="1"/>
  <c r="M58" i="1"/>
  <c r="G23" i="3"/>
  <c r="M213" i="2" l="1"/>
  <c r="L213" i="2"/>
  <c r="K214" i="2"/>
  <c r="M114" i="2"/>
  <c r="N114" i="2" s="1"/>
  <c r="K115" i="2"/>
  <c r="L115" i="2" s="1"/>
  <c r="H23" i="3"/>
  <c r="F24" i="3"/>
  <c r="M23" i="2"/>
  <c r="N23" i="2" s="1"/>
  <c r="K24" i="2"/>
  <c r="L24" i="2" s="1"/>
  <c r="O94" i="1"/>
  <c r="N55" i="1"/>
  <c r="O54" i="1"/>
  <c r="H59" i="1"/>
  <c r="J59" i="1"/>
  <c r="F60" i="1"/>
  <c r="K58" i="1"/>
  <c r="L58" i="1"/>
  <c r="M59" i="1"/>
  <c r="G60" i="1"/>
  <c r="G24" i="3"/>
  <c r="M214" i="2" l="1"/>
  <c r="L214" i="2"/>
  <c r="K215" i="2"/>
  <c r="M115" i="2"/>
  <c r="N115" i="2" s="1"/>
  <c r="K116" i="2"/>
  <c r="L116" i="2" s="1"/>
  <c r="H24" i="3"/>
  <c r="F25" i="3"/>
  <c r="M24" i="2"/>
  <c r="N24" i="2" s="1"/>
  <c r="K25" i="2"/>
  <c r="L25" i="2" s="1"/>
  <c r="O95" i="1"/>
  <c r="N56" i="1"/>
  <c r="O56" i="1" s="1"/>
  <c r="H60" i="1"/>
  <c r="J60" i="1"/>
  <c r="F61" i="1"/>
  <c r="G61" i="1" s="1"/>
  <c r="L59" i="1"/>
  <c r="K59" i="1"/>
  <c r="O55" i="1"/>
  <c r="M60" i="1"/>
  <c r="G25" i="3"/>
  <c r="M215" i="2" l="1"/>
  <c r="L215" i="2"/>
  <c r="K216" i="2"/>
  <c r="M116" i="2"/>
  <c r="N116" i="2" s="1"/>
  <c r="K117" i="2"/>
  <c r="L117" i="2" s="1"/>
  <c r="H25" i="3"/>
  <c r="F26" i="3"/>
  <c r="M25" i="2"/>
  <c r="N25" i="2" s="1"/>
  <c r="K26" i="2"/>
  <c r="L26" i="2" s="1"/>
  <c r="O96" i="1"/>
  <c r="N57" i="1"/>
  <c r="H61" i="1"/>
  <c r="J61" i="1"/>
  <c r="F62" i="1"/>
  <c r="G62" i="1" s="1"/>
  <c r="L60" i="1"/>
  <c r="K60" i="1"/>
  <c r="M61" i="1"/>
  <c r="G26" i="3"/>
  <c r="M216" i="2" l="1"/>
  <c r="L216" i="2"/>
  <c r="K217" i="2"/>
  <c r="M117" i="2"/>
  <c r="N117" i="2" s="1"/>
  <c r="K118" i="2"/>
  <c r="L118" i="2" s="1"/>
  <c r="H26" i="3"/>
  <c r="F27" i="3"/>
  <c r="M26" i="2"/>
  <c r="N26" i="2" s="1"/>
  <c r="K27" i="2"/>
  <c r="L27" i="2" s="1"/>
  <c r="O57" i="1"/>
  <c r="O99" i="1"/>
  <c r="O98" i="1"/>
  <c r="N58" i="1"/>
  <c r="O58" i="1" s="1"/>
  <c r="H62" i="1"/>
  <c r="F63" i="1"/>
  <c r="G63" i="1" s="1"/>
  <c r="J62" i="1"/>
  <c r="L61" i="1"/>
  <c r="K61" i="1"/>
  <c r="M62" i="1"/>
  <c r="G27" i="3"/>
  <c r="G28" i="3"/>
  <c r="G29" i="3"/>
  <c r="G30" i="3"/>
  <c r="G31" i="3"/>
  <c r="G32" i="3"/>
  <c r="M217" i="2" l="1"/>
  <c r="L217" i="2"/>
  <c r="K218" i="2"/>
  <c r="M118" i="2"/>
  <c r="N118" i="2" s="1"/>
  <c r="K119" i="2"/>
  <c r="L119" i="2" s="1"/>
  <c r="F33" i="3"/>
  <c r="H32" i="3"/>
  <c r="F32" i="3"/>
  <c r="H31" i="3"/>
  <c r="F31" i="3"/>
  <c r="H30" i="3"/>
  <c r="F30" i="3"/>
  <c r="H29" i="3"/>
  <c r="H28" i="3"/>
  <c r="F29" i="3"/>
  <c r="F28" i="3"/>
  <c r="H27" i="3"/>
  <c r="M27" i="2"/>
  <c r="N27" i="2" s="1"/>
  <c r="K28" i="2"/>
  <c r="L28" i="2" s="1"/>
  <c r="O100" i="1"/>
  <c r="O101" i="1"/>
  <c r="N59" i="1"/>
  <c r="O59" i="1" s="1"/>
  <c r="H63" i="1"/>
  <c r="F64" i="1"/>
  <c r="G64" i="1" s="1"/>
  <c r="J63" i="1"/>
  <c r="K62" i="1"/>
  <c r="L62" i="1"/>
  <c r="M63" i="1"/>
  <c r="G65" i="1"/>
  <c r="G33" i="3"/>
  <c r="M218" i="2" l="1"/>
  <c r="L218" i="2"/>
  <c r="K219" i="2"/>
  <c r="M119" i="2"/>
  <c r="N119" i="2" s="1"/>
  <c r="K120" i="2"/>
  <c r="L120" i="2" s="1"/>
  <c r="F34" i="3"/>
  <c r="H33" i="3"/>
  <c r="M28" i="2"/>
  <c r="N28" i="2" s="1"/>
  <c r="K29" i="2"/>
  <c r="L29" i="2" s="1"/>
  <c r="N60" i="1"/>
  <c r="O60" i="1" s="1"/>
  <c r="H65" i="1"/>
  <c r="H64" i="1"/>
  <c r="J65" i="1"/>
  <c r="J64" i="1"/>
  <c r="F65" i="1"/>
  <c r="K63" i="1"/>
  <c r="L63" i="1"/>
  <c r="M64" i="1"/>
  <c r="M65" i="1"/>
  <c r="G34" i="3"/>
  <c r="M219" i="2" l="1"/>
  <c r="L219" i="2"/>
  <c r="K220" i="2"/>
  <c r="M120" i="2"/>
  <c r="N120" i="2" s="1"/>
  <c r="K121" i="2"/>
  <c r="L121" i="2" s="1"/>
  <c r="H34" i="3"/>
  <c r="F35" i="3"/>
  <c r="M29" i="2"/>
  <c r="N29" i="2" s="1"/>
  <c r="K30" i="2"/>
  <c r="L30" i="2" s="1"/>
  <c r="N61" i="1"/>
  <c r="L64" i="1"/>
  <c r="K64" i="1"/>
  <c r="K65" i="1"/>
  <c r="L65" i="1"/>
  <c r="G35" i="3"/>
  <c r="M220" i="2" l="1"/>
  <c r="L220" i="2"/>
  <c r="K221" i="2"/>
  <c r="M121" i="2"/>
  <c r="N121" i="2" s="1"/>
  <c r="K122" i="2"/>
  <c r="L122" i="2" s="1"/>
  <c r="F36" i="3"/>
  <c r="H35" i="3"/>
  <c r="M30" i="2"/>
  <c r="N30" i="2" s="1"/>
  <c r="K31" i="2"/>
  <c r="L31" i="2" s="1"/>
  <c r="N62" i="1"/>
  <c r="N63" i="1"/>
  <c r="O62" i="1"/>
  <c r="O61" i="1"/>
  <c r="G36" i="3"/>
  <c r="M221" i="2" l="1"/>
  <c r="L221" i="2"/>
  <c r="K222" i="2"/>
  <c r="M122" i="2"/>
  <c r="N122" i="2" s="1"/>
  <c r="K123" i="2"/>
  <c r="L123" i="2" s="1"/>
  <c r="H36" i="3"/>
  <c r="F37" i="3"/>
  <c r="M31" i="2"/>
  <c r="N31" i="2" s="1"/>
  <c r="K32" i="2"/>
  <c r="L32" i="2" s="1"/>
  <c r="N64" i="1"/>
  <c r="N65" i="1"/>
  <c r="O65" i="1" s="1"/>
  <c r="O63" i="1"/>
  <c r="O64" i="1"/>
  <c r="G37" i="3"/>
  <c r="M222" i="2" l="1"/>
  <c r="L222" i="2"/>
  <c r="K223" i="2"/>
  <c r="M123" i="2"/>
  <c r="N123" i="2" s="1"/>
  <c r="K124" i="2"/>
  <c r="L124" i="2" s="1"/>
  <c r="F38" i="3"/>
  <c r="H37" i="3"/>
  <c r="M32" i="2"/>
  <c r="N32" i="2" s="1"/>
  <c r="K33" i="2"/>
  <c r="L33" i="2" s="1"/>
  <c r="G38" i="3"/>
  <c r="M223" i="2" l="1"/>
  <c r="L223" i="2"/>
  <c r="K224" i="2"/>
  <c r="M124" i="2"/>
  <c r="N124" i="2" s="1"/>
  <c r="K125" i="2"/>
  <c r="L125" i="2" s="1"/>
  <c r="F39" i="3"/>
  <c r="H38" i="3"/>
  <c r="M33" i="2"/>
  <c r="N33" i="2" s="1"/>
  <c r="K34" i="2"/>
  <c r="L34" i="2" s="1"/>
  <c r="G39" i="3"/>
  <c r="L224" i="2" l="1"/>
  <c r="M224" i="2" s="1"/>
  <c r="K225" i="2"/>
  <c r="M125" i="2"/>
  <c r="N125" i="2" s="1"/>
  <c r="K126" i="2"/>
  <c r="L126" i="2" s="1"/>
  <c r="F40" i="3"/>
  <c r="H39" i="3"/>
  <c r="M34" i="2"/>
  <c r="N34" i="2" s="1"/>
  <c r="K35" i="2"/>
  <c r="L35" i="2" s="1"/>
  <c r="G40" i="3"/>
  <c r="M225" i="2" l="1"/>
  <c r="L225" i="2"/>
  <c r="K226" i="2"/>
  <c r="M126" i="2"/>
  <c r="N126" i="2" s="1"/>
  <c r="K127" i="2"/>
  <c r="L127" i="2" s="1"/>
  <c r="H40" i="3"/>
  <c r="F41" i="3"/>
  <c r="M35" i="2"/>
  <c r="N35" i="2" s="1"/>
  <c r="K36" i="2"/>
  <c r="L36" i="2" s="1"/>
  <c r="G41" i="3"/>
  <c r="M226" i="2" l="1"/>
  <c r="L226" i="2"/>
  <c r="K227" i="2"/>
  <c r="M127" i="2"/>
  <c r="N127" i="2" s="1"/>
  <c r="K128" i="2"/>
  <c r="L128" i="2" s="1"/>
  <c r="H41" i="3"/>
  <c r="F42" i="3"/>
  <c r="M36" i="2"/>
  <c r="N36" i="2" s="1"/>
  <c r="K37" i="2"/>
  <c r="L37" i="2" s="1"/>
  <c r="G42" i="3"/>
  <c r="M227" i="2" l="1"/>
  <c r="L227" i="2"/>
  <c r="K228" i="2"/>
  <c r="M128" i="2"/>
  <c r="N128" i="2" s="1"/>
  <c r="K129" i="2"/>
  <c r="L129" i="2" s="1"/>
  <c r="H42" i="3"/>
  <c r="F43" i="3"/>
  <c r="M37" i="2"/>
  <c r="N37" i="2" s="1"/>
  <c r="K38" i="2"/>
  <c r="L38" i="2" s="1"/>
  <c r="G43" i="3"/>
  <c r="M228" i="2" l="1"/>
  <c r="L228" i="2"/>
  <c r="K229" i="2"/>
  <c r="M129" i="2"/>
  <c r="N129" i="2" s="1"/>
  <c r="K130" i="2"/>
  <c r="L130" i="2" s="1"/>
  <c r="F44" i="3"/>
  <c r="H43" i="3"/>
  <c r="M38" i="2"/>
  <c r="N38" i="2" s="1"/>
  <c r="K39" i="2"/>
  <c r="L39" i="2" s="1"/>
  <c r="G44" i="3"/>
  <c r="M229" i="2" l="1"/>
  <c r="L229" i="2"/>
  <c r="K230" i="2"/>
  <c r="M130" i="2"/>
  <c r="N130" i="2" s="1"/>
  <c r="K131" i="2"/>
  <c r="L131" i="2" s="1"/>
  <c r="F45" i="3"/>
  <c r="H44" i="3"/>
  <c r="M39" i="2"/>
  <c r="N39" i="2" s="1"/>
  <c r="K40" i="2"/>
  <c r="L40" i="2" s="1"/>
  <c r="G45" i="3"/>
  <c r="M230" i="2" l="1"/>
  <c r="L230" i="2"/>
  <c r="K231" i="2"/>
  <c r="M131" i="2"/>
  <c r="N131" i="2" s="1"/>
  <c r="K132" i="2"/>
  <c r="L132" i="2" s="1"/>
  <c r="F46" i="3"/>
  <c r="H45" i="3"/>
  <c r="M40" i="2"/>
  <c r="N40" i="2" s="1"/>
  <c r="K41" i="2"/>
  <c r="L41" i="2" s="1"/>
  <c r="G46" i="3"/>
  <c r="M231" i="2" l="1"/>
  <c r="L231" i="2"/>
  <c r="K232" i="2"/>
  <c r="M132" i="2"/>
  <c r="N132" i="2" s="1"/>
  <c r="K133" i="2"/>
  <c r="L133" i="2" s="1"/>
  <c r="H46" i="3"/>
  <c r="F47" i="3"/>
  <c r="M41" i="2"/>
  <c r="N41" i="2" s="1"/>
  <c r="K42" i="2"/>
  <c r="L42" i="2" s="1"/>
  <c r="G47" i="3"/>
  <c r="M232" i="2" l="1"/>
  <c r="L232" i="2"/>
  <c r="K233" i="2"/>
  <c r="M133" i="2"/>
  <c r="N133" i="2" s="1"/>
  <c r="K134" i="2"/>
  <c r="L134" i="2" s="1"/>
  <c r="F48" i="3"/>
  <c r="H47" i="3"/>
  <c r="M42" i="2"/>
  <c r="N42" i="2" s="1"/>
  <c r="K43" i="2"/>
  <c r="L43" i="2" s="1"/>
  <c r="G48" i="3"/>
  <c r="M233" i="2" l="1"/>
  <c r="L233" i="2"/>
  <c r="K234" i="2"/>
  <c r="M134" i="2"/>
  <c r="N134" i="2" s="1"/>
  <c r="K135" i="2"/>
  <c r="L135" i="2" s="1"/>
  <c r="F49" i="3"/>
  <c r="H48" i="3"/>
  <c r="M43" i="2"/>
  <c r="N43" i="2" s="1"/>
  <c r="K44" i="2"/>
  <c r="L44" i="2" s="1"/>
  <c r="G49" i="3"/>
  <c r="M234" i="2" l="1"/>
  <c r="L234" i="2"/>
  <c r="K235" i="2"/>
  <c r="M135" i="2"/>
  <c r="N135" i="2" s="1"/>
  <c r="K136" i="2"/>
  <c r="L136" i="2" s="1"/>
  <c r="F50" i="3"/>
  <c r="H49" i="3"/>
  <c r="M44" i="2"/>
  <c r="N44" i="2" s="1"/>
  <c r="K45" i="2"/>
  <c r="L45" i="2" s="1"/>
  <c r="G50" i="3"/>
  <c r="M235" i="2" l="1"/>
  <c r="L235" i="2"/>
  <c r="K236" i="2"/>
  <c r="M136" i="2"/>
  <c r="N136" i="2" s="1"/>
  <c r="K137" i="2"/>
  <c r="L137" i="2" s="1"/>
  <c r="F51" i="3"/>
  <c r="H50" i="3"/>
  <c r="M45" i="2"/>
  <c r="N45" i="2" s="1"/>
  <c r="K46" i="2"/>
  <c r="L46" i="2" s="1"/>
  <c r="G51" i="3"/>
  <c r="M236" i="2" l="1"/>
  <c r="L236" i="2"/>
  <c r="K237" i="2"/>
  <c r="M137" i="2"/>
  <c r="N137" i="2" s="1"/>
  <c r="K138" i="2"/>
  <c r="L138" i="2" s="1"/>
  <c r="F52" i="3"/>
  <c r="H51" i="3"/>
  <c r="M46" i="2"/>
  <c r="N46" i="2" s="1"/>
  <c r="K47" i="2"/>
  <c r="L47" i="2" s="1"/>
  <c r="G52" i="3"/>
  <c r="L237" i="2" l="1"/>
  <c r="M237" i="2"/>
  <c r="K238" i="2"/>
  <c r="M138" i="2"/>
  <c r="N138" i="2" s="1"/>
  <c r="K139" i="2"/>
  <c r="L139" i="2" s="1"/>
  <c r="F53" i="3"/>
  <c r="H52" i="3"/>
  <c r="M47" i="2"/>
  <c r="N47" i="2" s="1"/>
  <c r="K48" i="2"/>
  <c r="L48" i="2" s="1"/>
  <c r="G53" i="3"/>
  <c r="L238" i="2" l="1"/>
  <c r="M238" i="2"/>
  <c r="K239" i="2"/>
  <c r="M139" i="2"/>
  <c r="N139" i="2" s="1"/>
  <c r="K140" i="2"/>
  <c r="L140" i="2" s="1"/>
  <c r="F54" i="3"/>
  <c r="H53" i="3"/>
  <c r="M48" i="2"/>
  <c r="N48" i="2" s="1"/>
  <c r="K49" i="2"/>
  <c r="L49" i="2" s="1"/>
  <c r="G54" i="3"/>
  <c r="L239" i="2" l="1"/>
  <c r="M239" i="2"/>
  <c r="K240" i="2"/>
  <c r="M140" i="2"/>
  <c r="N140" i="2" s="1"/>
  <c r="K141" i="2"/>
  <c r="L141" i="2" s="1"/>
  <c r="H54" i="3"/>
  <c r="F55" i="3"/>
  <c r="M49" i="2"/>
  <c r="N49" i="2" s="1"/>
  <c r="K50" i="2"/>
  <c r="G55" i="3"/>
  <c r="L240" i="2" l="1"/>
  <c r="M240" i="2"/>
  <c r="K241" i="2"/>
  <c r="K51" i="2"/>
  <c r="L50" i="2"/>
  <c r="M141" i="2"/>
  <c r="N141" i="2" s="1"/>
  <c r="K142" i="2"/>
  <c r="L142" i="2" s="1"/>
  <c r="H55" i="3"/>
  <c r="F56" i="3"/>
  <c r="K52" i="2"/>
  <c r="M50" i="2"/>
  <c r="N50" i="2" s="1"/>
  <c r="G56" i="3"/>
  <c r="L241" i="2" l="1"/>
  <c r="M241" i="2"/>
  <c r="K242" i="2"/>
  <c r="L51" i="2"/>
  <c r="L52" i="2" s="1"/>
  <c r="M51" i="2"/>
  <c r="N51" i="2" s="1"/>
  <c r="M142" i="2"/>
  <c r="N142" i="2" s="1"/>
  <c r="K143" i="2"/>
  <c r="L143" i="2" s="1"/>
  <c r="H56" i="3"/>
  <c r="F57" i="3"/>
  <c r="M52" i="2"/>
  <c r="N52" i="2" s="1"/>
  <c r="K53" i="2"/>
  <c r="G57" i="3"/>
  <c r="L242" i="2" l="1"/>
  <c r="M242" i="2"/>
  <c r="K243" i="2"/>
  <c r="L53" i="2"/>
  <c r="M143" i="2"/>
  <c r="N143" i="2" s="1"/>
  <c r="K144" i="2"/>
  <c r="L144" i="2" s="1"/>
  <c r="H57" i="3"/>
  <c r="F58" i="3"/>
  <c r="K54" i="2"/>
  <c r="L54" i="2" s="1"/>
  <c r="M53" i="2"/>
  <c r="N53" i="2" s="1"/>
  <c r="G58" i="3"/>
  <c r="L243" i="2" l="1"/>
  <c r="M243" i="2"/>
  <c r="K244" i="2"/>
  <c r="M144" i="2"/>
  <c r="N144" i="2" s="1"/>
  <c r="K145" i="2"/>
  <c r="L145" i="2" s="1"/>
  <c r="F59" i="3"/>
  <c r="H58" i="3"/>
  <c r="K55" i="2"/>
  <c r="L55" i="2" s="1"/>
  <c r="M54" i="2"/>
  <c r="N54" i="2" s="1"/>
  <c r="G59" i="3"/>
  <c r="L244" i="2" l="1"/>
  <c r="M244" i="2"/>
  <c r="K245" i="2"/>
  <c r="M145" i="2"/>
  <c r="N145" i="2" s="1"/>
  <c r="K146" i="2"/>
  <c r="L146" i="2" s="1"/>
  <c r="F60" i="3"/>
  <c r="H59" i="3"/>
  <c r="M55" i="2"/>
  <c r="N55" i="2" s="1"/>
  <c r="K56" i="2"/>
  <c r="L56" i="2" s="1"/>
  <c r="G60" i="3"/>
  <c r="G61" i="3"/>
  <c r="L245" i="2" l="1"/>
  <c r="M245" i="2"/>
  <c r="K246" i="2"/>
  <c r="M146" i="2"/>
  <c r="N146" i="2" s="1"/>
  <c r="K147" i="2"/>
  <c r="L147" i="2" s="1"/>
  <c r="H61" i="3"/>
  <c r="H60" i="3"/>
  <c r="F61" i="3"/>
  <c r="M56" i="2"/>
  <c r="N56" i="2" s="1"/>
  <c r="K57" i="2"/>
  <c r="L57" i="2" s="1"/>
  <c r="L246" i="2" l="1"/>
  <c r="M246" i="2"/>
  <c r="K247" i="2"/>
  <c r="M147" i="2"/>
  <c r="N147" i="2" s="1"/>
  <c r="K148" i="2"/>
  <c r="L148" i="2" s="1"/>
  <c r="M57" i="2"/>
  <c r="N57" i="2" s="1"/>
  <c r="K58" i="2"/>
  <c r="L58" i="2" s="1"/>
  <c r="L247" i="2" l="1"/>
  <c r="M247" i="2"/>
  <c r="K248" i="2"/>
  <c r="M148" i="2"/>
  <c r="N148" i="2" s="1"/>
  <c r="K149" i="2"/>
  <c r="L149" i="2" s="1"/>
  <c r="M58" i="2"/>
  <c r="N58" i="2" s="1"/>
  <c r="K59" i="2"/>
  <c r="L59" i="2" s="1"/>
  <c r="L248" i="2" l="1"/>
  <c r="M248" i="2"/>
  <c r="K249" i="2"/>
  <c r="M149" i="2"/>
  <c r="N149" i="2" s="1"/>
  <c r="K150" i="2"/>
  <c r="L150" i="2" s="1"/>
  <c r="M59" i="2"/>
  <c r="N59" i="2" s="1"/>
  <c r="K60" i="2"/>
  <c r="L60" i="2" s="1"/>
  <c r="L249" i="2" l="1"/>
  <c r="M249" i="2"/>
  <c r="K250" i="2"/>
  <c r="M150" i="2"/>
  <c r="N150" i="2" s="1"/>
  <c r="K151" i="2"/>
  <c r="L151" i="2" s="1"/>
  <c r="M60" i="2"/>
  <c r="N60" i="2" s="1"/>
  <c r="K61" i="2"/>
  <c r="L61" i="2" s="1"/>
  <c r="L250" i="2" l="1"/>
  <c r="M250" i="2"/>
  <c r="K251" i="2"/>
  <c r="M151" i="2"/>
  <c r="N151" i="2" s="1"/>
  <c r="K152" i="2"/>
  <c r="L152" i="2" s="1"/>
  <c r="M61" i="2"/>
  <c r="N61" i="2" s="1"/>
  <c r="K62" i="2"/>
  <c r="L62" i="2" s="1"/>
  <c r="L251" i="2" l="1"/>
  <c r="M251" i="2"/>
  <c r="K252" i="2"/>
  <c r="M152" i="2"/>
  <c r="N152" i="2" s="1"/>
  <c r="K153" i="2"/>
  <c r="L153" i="2" s="1"/>
  <c r="K63" i="2"/>
  <c r="L63" i="2" s="1"/>
  <c r="L252" i="2" l="1"/>
  <c r="M252" i="2"/>
  <c r="K253" i="2"/>
  <c r="M62" i="2"/>
  <c r="N62" i="2" s="1"/>
  <c r="M153" i="2"/>
  <c r="N153" i="2" s="1"/>
  <c r="K154" i="2"/>
  <c r="L154" i="2" s="1"/>
  <c r="K64" i="2"/>
  <c r="L64" i="2" s="1"/>
  <c r="M63" i="2"/>
  <c r="N63" i="2" s="1"/>
  <c r="L253" i="2" l="1"/>
  <c r="M253" i="2"/>
  <c r="K254" i="2"/>
  <c r="M154" i="2"/>
  <c r="N154" i="2" s="1"/>
  <c r="K155" i="2"/>
  <c r="L155" i="2" s="1"/>
  <c r="M64" i="2"/>
  <c r="N64" i="2" s="1"/>
  <c r="K65" i="2"/>
  <c r="L65" i="2" s="1"/>
  <c r="L254" i="2" l="1"/>
  <c r="M254" i="2"/>
  <c r="K255" i="2"/>
  <c r="M155" i="2"/>
  <c r="N155" i="2" s="1"/>
  <c r="K156" i="2"/>
  <c r="L156" i="2" s="1"/>
  <c r="K66" i="2"/>
  <c r="L66" i="2" s="1"/>
  <c r="M65" i="2"/>
  <c r="N65" i="2" s="1"/>
  <c r="L255" i="2" l="1"/>
  <c r="M255" i="2"/>
  <c r="K256" i="2"/>
  <c r="M156" i="2"/>
  <c r="N156" i="2" s="1"/>
  <c r="K157" i="2"/>
  <c r="L157" i="2" s="1"/>
  <c r="K67" i="2"/>
  <c r="L67" i="2" s="1"/>
  <c r="M66" i="2"/>
  <c r="N66" i="2" s="1"/>
  <c r="L256" i="2" l="1"/>
  <c r="M256" i="2"/>
  <c r="K257" i="2"/>
  <c r="M157" i="2"/>
  <c r="N157" i="2" s="1"/>
  <c r="K158" i="2"/>
  <c r="L158" i="2" s="1"/>
  <c r="M67" i="2"/>
  <c r="N67" i="2" s="1"/>
  <c r="K68" i="2"/>
  <c r="L68" i="2" s="1"/>
  <c r="L257" i="2" l="1"/>
  <c r="M257" i="2"/>
  <c r="K258" i="2"/>
  <c r="M158" i="2"/>
  <c r="N158" i="2" s="1"/>
  <c r="K159" i="2"/>
  <c r="L159" i="2" s="1"/>
  <c r="K69" i="2"/>
  <c r="K70" i="2" s="1"/>
  <c r="M68" i="2"/>
  <c r="N68" i="2" s="1"/>
  <c r="L258" i="2" l="1"/>
  <c r="M258" i="2"/>
  <c r="K259" i="2"/>
  <c r="K71" i="2"/>
  <c r="K72" i="2" s="1"/>
  <c r="K73" i="2" s="1"/>
  <c r="K74" i="2" s="1"/>
  <c r="L70" i="2"/>
  <c r="L69" i="2"/>
  <c r="M159" i="2"/>
  <c r="N159" i="2" s="1"/>
  <c r="K160" i="2"/>
  <c r="L160" i="2" s="1"/>
  <c r="M70" i="2"/>
  <c r="N70" i="2" s="1"/>
  <c r="L259" i="2" l="1"/>
  <c r="M259" i="2"/>
  <c r="K260" i="2"/>
  <c r="M71" i="2"/>
  <c r="N71" i="2" s="1"/>
  <c r="L71" i="2"/>
  <c r="L72" i="2" s="1"/>
  <c r="L73" i="2" s="1"/>
  <c r="L74" i="2" s="1"/>
  <c r="M69" i="2"/>
  <c r="N69" i="2" s="1"/>
  <c r="K75" i="2"/>
  <c r="M74" i="2"/>
  <c r="N74" i="2" s="1"/>
  <c r="M160" i="2"/>
  <c r="N160" i="2" s="1"/>
  <c r="K161" i="2"/>
  <c r="L161" i="2" s="1"/>
  <c r="M72" i="2"/>
  <c r="N72" i="2" s="1"/>
  <c r="M73" i="2"/>
  <c r="N73" i="2" s="1"/>
  <c r="L260" i="2" l="1"/>
  <c r="M260" i="2"/>
  <c r="K261" i="2"/>
  <c r="L75" i="2"/>
  <c r="K76" i="2"/>
  <c r="M75" i="2"/>
  <c r="N75" i="2" s="1"/>
  <c r="M161" i="2"/>
  <c r="N161" i="2" s="1"/>
  <c r="K162" i="2"/>
  <c r="L162" i="2" s="1"/>
  <c r="L261" i="2" l="1"/>
  <c r="M261" i="2"/>
  <c r="K262" i="2"/>
  <c r="L76" i="2"/>
  <c r="K77" i="2"/>
  <c r="M76" i="2"/>
  <c r="N76" i="2" s="1"/>
  <c r="M162" i="2"/>
  <c r="K163" i="2"/>
  <c r="L163" i="2" s="1"/>
  <c r="L262" i="2" l="1"/>
  <c r="M262" i="2"/>
  <c r="K263" i="2"/>
  <c r="L77" i="2"/>
  <c r="M77" i="2"/>
  <c r="N77" i="2" s="1"/>
  <c r="K78" i="2"/>
  <c r="M163" i="2"/>
  <c r="K164" i="2"/>
  <c r="L263" i="2" l="1"/>
  <c r="M263" i="2"/>
  <c r="K264" i="2"/>
  <c r="L164" i="2"/>
  <c r="L165" i="2" s="1"/>
  <c r="K165" i="2"/>
  <c r="K166" i="2" s="1"/>
  <c r="L78" i="2"/>
  <c r="M78" i="2"/>
  <c r="N78" i="2" s="1"/>
  <c r="K79" i="2"/>
  <c r="L79" i="2" s="1"/>
  <c r="M164" i="2"/>
  <c r="M165" i="2"/>
  <c r="L264" i="2" l="1"/>
  <c r="M264" i="2"/>
  <c r="K265" i="2"/>
  <c r="L166" i="2"/>
  <c r="M166" i="2"/>
  <c r="K167" i="2"/>
  <c r="M79" i="2"/>
  <c r="N79" i="2" s="1"/>
  <c r="K80" i="2"/>
  <c r="L80" i="2" s="1"/>
  <c r="L265" i="2" l="1"/>
  <c r="M265" i="2"/>
  <c r="K266" i="2"/>
  <c r="L167" i="2"/>
  <c r="M167" i="2"/>
  <c r="K81" i="2"/>
  <c r="L81" i="2" s="1"/>
  <c r="M80" i="2"/>
  <c r="N80" i="2" s="1"/>
  <c r="L266" i="2" l="1"/>
  <c r="M266" i="2"/>
  <c r="K267" i="2"/>
  <c r="M81" i="2"/>
  <c r="N81" i="2" s="1"/>
  <c r="K82" i="2"/>
  <c r="L82" i="2" s="1"/>
  <c r="L267" i="2" l="1"/>
  <c r="M267" i="2"/>
  <c r="K268" i="2"/>
  <c r="M82" i="2"/>
  <c r="N82" i="2" s="1"/>
  <c r="K83" i="2"/>
  <c r="L83" i="2" s="1"/>
  <c r="L268" i="2" l="1"/>
  <c r="M268" i="2"/>
  <c r="K269" i="2"/>
  <c r="K84" i="2"/>
  <c r="L84" i="2" s="1"/>
  <c r="M83" i="2"/>
  <c r="N83" i="2" s="1"/>
  <c r="L269" i="2" l="1"/>
  <c r="M269" i="2"/>
  <c r="K270" i="2"/>
  <c r="M84" i="2"/>
  <c r="N84" i="2" s="1"/>
  <c r="K85" i="2"/>
  <c r="L85" i="2" s="1"/>
  <c r="L270" i="2" l="1"/>
  <c r="M270" i="2"/>
  <c r="K271" i="2"/>
  <c r="M85" i="2"/>
  <c r="N85" i="2" s="1"/>
  <c r="K86" i="2"/>
  <c r="L86" i="2" s="1"/>
  <c r="L271" i="2" l="1"/>
  <c r="M271" i="2"/>
  <c r="K272" i="2"/>
  <c r="K87" i="2"/>
  <c r="L87" i="2" s="1"/>
  <c r="M86" i="2"/>
  <c r="N86" i="2" s="1"/>
  <c r="L272" i="2" l="1"/>
  <c r="M272" i="2"/>
  <c r="K273" i="2"/>
  <c r="M87" i="2"/>
  <c r="N87" i="2" s="1"/>
  <c r="K88" i="2"/>
  <c r="L88" i="2" s="1"/>
  <c r="L273" i="2" l="1"/>
  <c r="M273" i="2"/>
  <c r="K274" i="2"/>
  <c r="M88" i="2"/>
  <c r="N88" i="2" s="1"/>
  <c r="K89" i="2"/>
  <c r="L89" i="2" s="1"/>
  <c r="L274" i="2" l="1"/>
  <c r="M274" i="2"/>
  <c r="K275" i="2"/>
  <c r="M89" i="2"/>
  <c r="N89" i="2" s="1"/>
  <c r="K90" i="2"/>
  <c r="L90" i="2" s="1"/>
  <c r="L275" i="2" l="1"/>
  <c r="M275" i="2"/>
  <c r="K276" i="2"/>
  <c r="K91" i="2"/>
  <c r="L91" i="2" s="1"/>
  <c r="M90" i="2"/>
  <c r="N90" i="2" s="1"/>
  <c r="L276" i="2" l="1"/>
  <c r="M276" i="2"/>
  <c r="K277" i="2"/>
  <c r="M91" i="2"/>
  <c r="N91" i="2" s="1"/>
  <c r="K92" i="2"/>
  <c r="L92" i="2" s="1"/>
  <c r="L277" i="2" l="1"/>
  <c r="M277" i="2"/>
  <c r="K278" i="2"/>
  <c r="M92" i="2"/>
  <c r="N92" i="2" s="1"/>
  <c r="K93" i="2"/>
  <c r="L93" i="2" s="1"/>
  <c r="L278" i="2" l="1"/>
  <c r="M278" i="2"/>
  <c r="K279" i="2"/>
  <c r="M93" i="2"/>
  <c r="N93" i="2" s="1"/>
  <c r="K94" i="2"/>
  <c r="L94" i="2" s="1"/>
  <c r="L279" i="2" l="1"/>
  <c r="M279" i="2"/>
  <c r="K280" i="2"/>
  <c r="M94" i="2"/>
  <c r="N94" i="2" s="1"/>
  <c r="K95" i="2"/>
  <c r="L95" i="2" s="1"/>
  <c r="L280" i="2" l="1"/>
  <c r="M280" i="2"/>
  <c r="K281" i="2"/>
  <c r="M95" i="2"/>
  <c r="N95" i="2" s="1"/>
  <c r="K96" i="2"/>
  <c r="L96" i="2" s="1"/>
  <c r="L281" i="2" l="1"/>
  <c r="M281" i="2"/>
  <c r="K282" i="2"/>
  <c r="M96" i="2"/>
  <c r="N96" i="2" s="1"/>
  <c r="K97" i="2"/>
  <c r="L97" i="2" s="1"/>
  <c r="L282" i="2" l="1"/>
  <c r="M282" i="2"/>
  <c r="K283" i="2"/>
  <c r="M97" i="2"/>
  <c r="N97" i="2" s="1"/>
  <c r="K98" i="2"/>
  <c r="L98" i="2" s="1"/>
  <c r="L283" i="2" l="1"/>
  <c r="M283" i="2"/>
  <c r="K284" i="2"/>
  <c r="K99" i="2"/>
  <c r="L99" i="2" s="1"/>
  <c r="M98" i="2"/>
  <c r="N98" i="2" s="1"/>
  <c r="L284" i="2" l="1"/>
  <c r="M284" i="2"/>
  <c r="K285" i="2"/>
  <c r="K100" i="2"/>
  <c r="L100" i="2" s="1"/>
  <c r="M99" i="2"/>
  <c r="N99" i="2" s="1"/>
  <c r="L285" i="2" l="1"/>
  <c r="M285" i="2"/>
  <c r="K286" i="2"/>
  <c r="K101" i="2"/>
  <c r="L101" i="2" s="1"/>
  <c r="M100" i="2"/>
  <c r="N100" i="2" s="1"/>
  <c r="L286" i="2" l="1"/>
  <c r="M286" i="2"/>
  <c r="K287" i="2"/>
  <c r="K102" i="2"/>
  <c r="L102" i="2" s="1"/>
  <c r="M101" i="2"/>
  <c r="N101" i="2" s="1"/>
  <c r="L287" i="2" l="1"/>
  <c r="M287" i="2"/>
  <c r="K288" i="2"/>
  <c r="K103" i="2"/>
  <c r="L103" i="2" s="1"/>
  <c r="M102" i="2"/>
  <c r="N102" i="2" s="1"/>
  <c r="L288" i="2" l="1"/>
  <c r="M288" i="2"/>
  <c r="K289" i="2"/>
  <c r="M103" i="2"/>
  <c r="N103" i="2" s="1"/>
  <c r="K104" i="2"/>
  <c r="L104" i="2" s="1"/>
  <c r="L289" i="2" l="1"/>
  <c r="M289" i="2"/>
  <c r="K290" i="2"/>
  <c r="L105" i="2"/>
  <c r="M104" i="2"/>
  <c r="N104" i="2" s="1"/>
  <c r="M105" i="2"/>
  <c r="N105" i="2" s="1"/>
  <c r="M290" i="2" l="1"/>
  <c r="L290" i="2"/>
  <c r="K291" i="2"/>
  <c r="L291" i="2" l="1"/>
  <c r="M291" i="2"/>
  <c r="K292" i="2"/>
  <c r="M292" i="2" l="1"/>
  <c r="L292" i="2"/>
  <c r="K293" i="2"/>
  <c r="L293" i="2" l="1"/>
  <c r="M293" i="2"/>
  <c r="K294" i="2"/>
  <c r="M294" i="2" l="1"/>
  <c r="L294" i="2"/>
  <c r="K295" i="2"/>
  <c r="M295" i="2" l="1"/>
  <c r="L295" i="2"/>
  <c r="K296" i="2"/>
  <c r="M296" i="2" l="1"/>
  <c r="L296" i="2"/>
  <c r="K297" i="2"/>
  <c r="M297" i="2" l="1"/>
  <c r="L297" i="2"/>
  <c r="K298" i="2"/>
  <c r="M298" i="2" l="1"/>
  <c r="L298" i="2"/>
  <c r="K299" i="2"/>
  <c r="M299" i="2" l="1"/>
  <c r="L299" i="2"/>
  <c r="K300" i="2"/>
  <c r="M300" i="2" l="1"/>
  <c r="L300" i="2"/>
  <c r="K301" i="2"/>
  <c r="M301" i="2" l="1"/>
  <c r="L301" i="2"/>
  <c r="K302" i="2"/>
  <c r="M302" i="2" l="1"/>
  <c r="L302" i="2"/>
  <c r="K303" i="2"/>
  <c r="M303" i="2" l="1"/>
  <c r="L303" i="2"/>
  <c r="K304" i="2"/>
  <c r="M304" i="2" l="1"/>
  <c r="L304" i="2"/>
  <c r="K305" i="2"/>
  <c r="M305" i="2" l="1"/>
  <c r="L305" i="2"/>
  <c r="K306" i="2"/>
  <c r="M306" i="2" l="1"/>
  <c r="L306" i="2"/>
  <c r="K307" i="2"/>
  <c r="M307" i="2" l="1"/>
  <c r="L307" i="2"/>
  <c r="K308" i="2"/>
  <c r="L308" i="2" l="1"/>
  <c r="M308" i="2" s="1"/>
  <c r="K309" i="2"/>
  <c r="M309" i="2" l="1"/>
  <c r="L309" i="2"/>
  <c r="K310" i="2"/>
  <c r="M310" i="2" l="1"/>
  <c r="L310" i="2"/>
  <c r="K311" i="2"/>
  <c r="M311" i="2" l="1"/>
  <c r="L311" i="2"/>
  <c r="K312" i="2"/>
  <c r="M312" i="2" l="1"/>
  <c r="L312" i="2"/>
  <c r="K313" i="2"/>
  <c r="L313" i="2" l="1"/>
  <c r="M313" i="2"/>
  <c r="K314" i="2"/>
  <c r="M314" i="2" l="1"/>
  <c r="L314" i="2"/>
  <c r="K315" i="2"/>
  <c r="L315" i="2" l="1"/>
  <c r="M315" i="2"/>
  <c r="K316" i="2"/>
  <c r="M316" i="2" l="1"/>
  <c r="L316" i="2"/>
  <c r="K317" i="2"/>
  <c r="L317" i="2" l="1"/>
  <c r="M317" i="2"/>
  <c r="K318" i="2"/>
  <c r="L318" i="2" l="1"/>
  <c r="M318" i="2"/>
  <c r="K319" i="2"/>
  <c r="L319" i="2" l="1"/>
  <c r="M319" i="2"/>
  <c r="K320" i="2"/>
  <c r="L320" i="2" l="1"/>
  <c r="M320" i="2"/>
  <c r="K321" i="2"/>
  <c r="L321" i="2" l="1"/>
  <c r="M321" i="2"/>
  <c r="K322" i="2"/>
  <c r="L322" i="2" l="1"/>
  <c r="M322" i="2"/>
  <c r="K323" i="2"/>
  <c r="L323" i="2" l="1"/>
  <c r="M323" i="2"/>
  <c r="K324" i="2"/>
  <c r="L324" i="2" l="1"/>
  <c r="M324" i="2"/>
  <c r="K325" i="2"/>
  <c r="L325" i="2" l="1"/>
  <c r="M325" i="2"/>
  <c r="K326" i="2"/>
  <c r="L326" i="2" l="1"/>
  <c r="M326" i="2"/>
  <c r="K327" i="2"/>
  <c r="L327" i="2" l="1"/>
  <c r="M327" i="2"/>
  <c r="K328" i="2"/>
  <c r="L328" i="2" l="1"/>
  <c r="M328" i="2"/>
  <c r="K329" i="2"/>
  <c r="L329" i="2" l="1"/>
  <c r="M329" i="2"/>
  <c r="K330" i="2"/>
  <c r="L330" i="2" l="1"/>
  <c r="M330" i="2"/>
  <c r="K331" i="2"/>
  <c r="L331" i="2" l="1"/>
  <c r="M331" i="2"/>
  <c r="K332" i="2"/>
  <c r="L332" i="2" l="1"/>
  <c r="M332" i="2"/>
  <c r="K333" i="2"/>
  <c r="L333" i="2" l="1"/>
  <c r="M333" i="2"/>
  <c r="K334" i="2"/>
  <c r="L334" i="2" l="1"/>
  <c r="M334" i="2"/>
  <c r="K335" i="2"/>
  <c r="L335" i="2" l="1"/>
  <c r="M335" i="2"/>
  <c r="K336" i="2"/>
  <c r="L336" i="2" l="1"/>
  <c r="M336" i="2"/>
  <c r="K337" i="2"/>
  <c r="L337" i="2" l="1"/>
  <c r="M337" i="2"/>
  <c r="K338" i="2"/>
  <c r="L338" i="2" l="1"/>
  <c r="M338" i="2"/>
  <c r="K339" i="2"/>
  <c r="L339" i="2" l="1"/>
  <c r="M339" i="2"/>
  <c r="K340" i="2"/>
  <c r="L340" i="2" l="1"/>
  <c r="M340" i="2"/>
  <c r="K341" i="2"/>
  <c r="L341" i="2" l="1"/>
  <c r="M341" i="2"/>
  <c r="K342" i="2"/>
  <c r="L342" i="2" l="1"/>
  <c r="M342" i="2"/>
  <c r="K343" i="2"/>
  <c r="L343" i="2" l="1"/>
  <c r="M343" i="2"/>
  <c r="K344" i="2"/>
  <c r="L344" i="2" l="1"/>
  <c r="M344" i="2"/>
  <c r="K345" i="2"/>
  <c r="L345" i="2" l="1"/>
  <c r="M345" i="2"/>
  <c r="K346" i="2"/>
  <c r="L346" i="2" l="1"/>
  <c r="M346" i="2"/>
  <c r="K347" i="2"/>
  <c r="L347" i="2" l="1"/>
  <c r="M347" i="2"/>
  <c r="K348" i="2"/>
  <c r="L348" i="2" l="1"/>
  <c r="M348" i="2"/>
  <c r="K349" i="2"/>
  <c r="L349" i="2" l="1"/>
  <c r="M349" i="2"/>
  <c r="K350" i="2"/>
  <c r="L350" i="2" l="1"/>
  <c r="M350" i="2"/>
  <c r="K351" i="2"/>
  <c r="L351" i="2" l="1"/>
  <c r="M351" i="2"/>
  <c r="K352" i="2"/>
  <c r="L352" i="2" l="1"/>
  <c r="M352" i="2"/>
  <c r="K353" i="2"/>
  <c r="L353" i="2" l="1"/>
  <c r="M353" i="2"/>
  <c r="K354" i="2"/>
  <c r="L354" i="2" l="1"/>
  <c r="M354" i="2"/>
  <c r="K355" i="2"/>
  <c r="L355" i="2" l="1"/>
  <c r="M355" i="2"/>
  <c r="K356" i="2"/>
  <c r="L356" i="2" l="1"/>
  <c r="M356" i="2"/>
  <c r="K357" i="2"/>
  <c r="L357" i="2" l="1"/>
  <c r="M357" i="2"/>
  <c r="K358" i="2"/>
  <c r="L358" i="2" l="1"/>
  <c r="M358" i="2"/>
  <c r="K359" i="2"/>
  <c r="L359" i="2" l="1"/>
  <c r="M359" i="2"/>
  <c r="K360" i="2"/>
  <c r="L360" i="2" l="1"/>
  <c r="M360" i="2"/>
  <c r="K361" i="2"/>
  <c r="L361" i="2" l="1"/>
  <c r="M361" i="2"/>
  <c r="K362" i="2"/>
  <c r="L362" i="2" l="1"/>
  <c r="M362" i="2"/>
  <c r="K363" i="2"/>
  <c r="L363" i="2" l="1"/>
  <c r="M363" i="2"/>
  <c r="K364" i="2"/>
  <c r="L364" i="2" l="1"/>
  <c r="M364" i="2" s="1"/>
  <c r="K365" i="2"/>
  <c r="L365" i="2" l="1"/>
  <c r="M365" i="2"/>
  <c r="K366" i="2"/>
  <c r="L366" i="2" l="1"/>
  <c r="M366" i="2"/>
  <c r="K367" i="2"/>
  <c r="L367" i="2" l="1"/>
  <c r="M367" i="2"/>
  <c r="K368" i="2"/>
  <c r="L368" i="2" l="1"/>
  <c r="M368" i="2"/>
  <c r="K369" i="2"/>
  <c r="L369" i="2" l="1"/>
  <c r="M369" i="2"/>
  <c r="K370" i="2"/>
  <c r="L370" i="2" l="1"/>
  <c r="M370" i="2"/>
  <c r="K371" i="2"/>
  <c r="L371" i="2" l="1"/>
  <c r="M371" i="2"/>
  <c r="K372" i="2"/>
  <c r="L372" i="2" l="1"/>
  <c r="M372" i="2"/>
  <c r="K373" i="2"/>
  <c r="L373" i="2" l="1"/>
  <c r="M373" i="2"/>
  <c r="K374" i="2"/>
  <c r="L374" i="2" l="1"/>
  <c r="M374" i="2"/>
  <c r="K375" i="2"/>
  <c r="L375" i="2" l="1"/>
  <c r="M375" i="2"/>
  <c r="K376" i="2"/>
  <c r="L376" i="2" l="1"/>
  <c r="M376" i="2"/>
  <c r="K377" i="2"/>
  <c r="L377" i="2" l="1"/>
  <c r="M377" i="2"/>
  <c r="K378" i="2"/>
  <c r="L378" i="2" l="1"/>
  <c r="M378" i="2"/>
  <c r="K379" i="2"/>
  <c r="L379" i="2" l="1"/>
  <c r="M379" i="2"/>
  <c r="K380" i="2"/>
  <c r="L380" i="2" l="1"/>
  <c r="M380" i="2"/>
  <c r="K381" i="2"/>
  <c r="L381" i="2" l="1"/>
  <c r="M381" i="2"/>
  <c r="K382" i="2"/>
  <c r="L382" i="2" l="1"/>
  <c r="M382" i="2"/>
  <c r="K383" i="2"/>
  <c r="L383" i="2" l="1"/>
  <c r="M383" i="2"/>
  <c r="K384" i="2"/>
  <c r="L384" i="2" l="1"/>
  <c r="M384" i="2"/>
  <c r="K385" i="2"/>
  <c r="L385" i="2" l="1"/>
  <c r="M385" i="2"/>
  <c r="K386" i="2"/>
  <c r="L386" i="2" l="1"/>
  <c r="M386" i="2"/>
  <c r="K387" i="2"/>
  <c r="L387" i="2" l="1"/>
  <c r="M387" i="2"/>
  <c r="K388" i="2"/>
  <c r="L388" i="2" l="1"/>
  <c r="M388" i="2"/>
  <c r="K389" i="2"/>
  <c r="L389" i="2" l="1"/>
  <c r="M389" i="2"/>
  <c r="K390" i="2"/>
  <c r="L390" i="2" l="1"/>
  <c r="M390" i="2"/>
  <c r="K391" i="2"/>
  <c r="L391" i="2" l="1"/>
  <c r="M391" i="2"/>
  <c r="K392" i="2"/>
  <c r="L392" i="2" l="1"/>
  <c r="M392" i="2"/>
  <c r="K393" i="2"/>
  <c r="L393" i="2" l="1"/>
  <c r="M393" i="2"/>
  <c r="K394" i="2"/>
  <c r="L394" i="2" l="1"/>
  <c r="M394" i="2"/>
  <c r="K395" i="2"/>
  <c r="L395" i="2" l="1"/>
  <c r="M395" i="2"/>
  <c r="K396" i="2"/>
  <c r="L396" i="2" l="1"/>
  <c r="M396" i="2"/>
  <c r="K397" i="2"/>
  <c r="L397" i="2" l="1"/>
  <c r="M397" i="2"/>
  <c r="K398" i="2"/>
  <c r="L398" i="2" l="1"/>
  <c r="M398" i="2"/>
  <c r="L399" i="2"/>
  <c r="M399" i="2"/>
</calcChain>
</file>

<file path=xl/sharedStrings.xml><?xml version="1.0" encoding="utf-8"?>
<sst xmlns="http://schemas.openxmlformats.org/spreadsheetml/2006/main" count="101" uniqueCount="46">
  <si>
    <t>0b100</t>
  </si>
  <si>
    <t>0b000</t>
  </si>
  <si>
    <t>0b001</t>
  </si>
  <si>
    <t>0b010</t>
  </si>
  <si>
    <t>0b011</t>
  </si>
  <si>
    <t>0b101</t>
  </si>
  <si>
    <t>0b110</t>
  </si>
  <si>
    <t>0b111</t>
  </si>
  <si>
    <t>G=0</t>
  </si>
  <si>
    <t>G=1</t>
  </si>
  <si>
    <t>0b00</t>
  </si>
  <si>
    <t>0b01</t>
  </si>
  <si>
    <t>0b11</t>
  </si>
  <si>
    <t>0b10</t>
  </si>
  <si>
    <t>Data</t>
  </si>
  <si>
    <t>{R,B}</t>
  </si>
  <si>
    <t>{G}</t>
  </si>
  <si>
    <t>00</t>
  </si>
  <si>
    <t>IDLE</t>
  </si>
  <si>
    <t>ColorCode (RBG)</t>
  </si>
  <si>
    <t>Tx Data</t>
  </si>
  <si>
    <t>Rx Color</t>
  </si>
  <si>
    <t>Clk</t>
  </si>
  <si>
    <t>Rx Data</t>
  </si>
  <si>
    <t>In Sync</t>
  </si>
  <si>
    <t>Over Sampling + Jitter</t>
  </si>
  <si>
    <t>TxData</t>
  </si>
  <si>
    <t>ColorCode (RB,G)</t>
  </si>
  <si>
    <t>Assume 8bit unsigned Data</t>
  </si>
  <si>
    <t>In Sync + Data Framing</t>
  </si>
  <si>
    <t>000</t>
  </si>
  <si>
    <t>111</t>
  </si>
  <si>
    <t>011</t>
  </si>
  <si>
    <t>110</t>
  </si>
  <si>
    <t>010</t>
  </si>
  <si>
    <t>100</t>
  </si>
  <si>
    <t>101</t>
  </si>
  <si>
    <t>001</t>
  </si>
  <si>
    <t>In Sync + Data Framing + Oversampling</t>
  </si>
  <si>
    <t>Run Length</t>
  </si>
  <si>
    <t>Initial</t>
  </si>
  <si>
    <t>{R,G}</t>
  </si>
  <si>
    <t>{B}</t>
  </si>
  <si>
    <t>ColorCode (RG,B)</t>
  </si>
  <si>
    <t>Dec</t>
  </si>
  <si>
    <t>Char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</si>
</sst>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0" borderId="0" xfId="0" applyBorder="1"/>
    <xf numFmtId="0" fontId="0" fillId="0" borderId="0" xfId="0" quotePrefix="1" applyBorder="1"/>
    <xf numFmtId="0" fontId="0" fillId="0" borderId="1" xfId="0" applyBorder="1"/>
    <xf numFmtId="0" fontId="0" fillId="0" borderId="2" xfId="0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2" xfId="0" applyFont="1" applyBorder="1"/>
    <xf numFmtId="0" fontId="0" fillId="0" borderId="3" xfId="0" applyBorder="1"/>
    <xf numFmtId="0" fontId="0" fillId="0" borderId="0" xfId="0" applyFill="1" applyBorder="1"/>
    <xf numFmtId="0" fontId="1" fillId="0" borderId="1" xfId="0" applyFont="1" applyBorder="1"/>
    <xf numFmtId="0" fontId="2" fillId="0" borderId="5" xfId="0" applyFont="1" applyBorder="1"/>
    <xf numFmtId="0" fontId="1" fillId="0" borderId="0" xfId="0" applyFont="1" applyBorder="1"/>
    <xf numFmtId="0" fontId="2" fillId="0" borderId="0" xfId="0" applyFont="1" applyBorder="1"/>
  </cellXfs>
  <cellStyles count="1">
    <cellStyle name="Normal" xfId="0" builtinId="0"/>
  </cellStyles>
  <dxfs count="2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FF"/>
        </patternFill>
      </fill>
    </dxf>
  </dxfs>
  <tableStyles count="0" defaultTableStyle="TableStyleMedium2" defaultPivotStyle="PivotStyleLight16"/>
  <colors>
    <mruColors>
      <color rgb="FFFF00FF"/>
      <color rgb="FF00FFFF"/>
      <color rgb="FF00FF00"/>
      <color rgb="FF0000FF"/>
      <color rgb="FFFF0000"/>
      <color rgb="FFFFFF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179295</xdr:colOff>
      <xdr:row>5</xdr:row>
      <xdr:rowOff>33618</xdr:rowOff>
    </xdr:from>
    <xdr:to>
      <xdr:col>21</xdr:col>
      <xdr:colOff>361096</xdr:colOff>
      <xdr:row>29</xdr:row>
      <xdr:rowOff>118761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30471" y="986118"/>
          <a:ext cx="6838096" cy="465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6</xdr:row>
      <xdr:rowOff>0</xdr:rowOff>
    </xdr:from>
    <xdr:to>
      <xdr:col>19</xdr:col>
      <xdr:colOff>388366</xdr:colOff>
      <xdr:row>13</xdr:row>
      <xdr:rowOff>37929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51773" y="1143000"/>
          <a:ext cx="3419048" cy="1371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571"/>
  <sheetViews>
    <sheetView tabSelected="1" zoomScale="85" zoomScaleNormal="85" workbookViewId="0">
      <selection activeCell="C73" sqref="C73"/>
    </sheetView>
  </sheetViews>
  <sheetFormatPr defaultRowHeight="15" x14ac:dyDescent="0.25"/>
  <cols>
    <col min="15" max="15" width="14.85546875" customWidth="1"/>
  </cols>
  <sheetData>
    <row r="1" spans="3:14" x14ac:dyDescent="0.25">
      <c r="C1" t="s">
        <v>1</v>
      </c>
      <c r="D1" s="1" t="e">
        <f ca="1">background</f>
        <v>#REF!</v>
      </c>
      <c r="F1" t="s">
        <v>14</v>
      </c>
      <c r="G1" t="s">
        <v>10</v>
      </c>
      <c r="H1" t="s">
        <v>11</v>
      </c>
      <c r="I1" t="s">
        <v>12</v>
      </c>
      <c r="J1" t="s">
        <v>13</v>
      </c>
    </row>
    <row r="2" spans="3:14" x14ac:dyDescent="0.25">
      <c r="C2" t="s">
        <v>2</v>
      </c>
      <c r="D2" s="2">
        <f ca="1">background</f>
        <v>1</v>
      </c>
      <c r="F2" t="s">
        <v>8</v>
      </c>
      <c r="G2" s="1"/>
      <c r="H2" s="2"/>
      <c r="I2" s="8"/>
      <c r="J2" s="4"/>
    </row>
    <row r="3" spans="3:14" x14ac:dyDescent="0.25">
      <c r="C3" t="s">
        <v>3</v>
      </c>
      <c r="D3" s="3">
        <f ca="1">background</f>
        <v>5</v>
      </c>
      <c r="F3" t="s">
        <v>9</v>
      </c>
      <c r="G3" s="3"/>
      <c r="H3" s="6"/>
      <c r="J3" s="7"/>
    </row>
    <row r="4" spans="3:14" x14ac:dyDescent="0.25">
      <c r="C4" t="s">
        <v>4</v>
      </c>
      <c r="D4" s="6">
        <f ca="1">background</f>
        <v>4</v>
      </c>
    </row>
    <row r="5" spans="3:14" x14ac:dyDescent="0.25">
      <c r="C5" t="s">
        <v>0</v>
      </c>
      <c r="D5" s="4">
        <f ca="1">background</f>
        <v>8</v>
      </c>
    </row>
    <row r="6" spans="3:14" x14ac:dyDescent="0.25">
      <c r="C6" t="s">
        <v>5</v>
      </c>
      <c r="D6" s="8">
        <f ca="1">background</f>
        <v>3</v>
      </c>
    </row>
    <row r="7" spans="3:14" x14ac:dyDescent="0.25">
      <c r="C7" t="s">
        <v>6</v>
      </c>
      <c r="D7" s="7">
        <f ca="1">background</f>
        <v>7</v>
      </c>
    </row>
    <row r="8" spans="3:14" x14ac:dyDescent="0.25">
      <c r="C8" t="s">
        <v>7</v>
      </c>
      <c r="D8">
        <f ca="1">background</f>
        <v>6</v>
      </c>
    </row>
    <row r="11" spans="3:14" x14ac:dyDescent="0.25">
      <c r="J11" t="s">
        <v>24</v>
      </c>
    </row>
    <row r="12" spans="3:14" x14ac:dyDescent="0.25">
      <c r="C12" s="11" t="s">
        <v>20</v>
      </c>
      <c r="D12" s="19">
        <v>55</v>
      </c>
      <c r="E12" s="12"/>
      <c r="F12" s="12"/>
      <c r="G12" s="12"/>
      <c r="H12" s="20"/>
      <c r="J12" s="11"/>
      <c r="K12" s="12"/>
      <c r="L12" s="12"/>
      <c r="M12" s="12" t="s">
        <v>23</v>
      </c>
      <c r="N12" s="13">
        <f>BIN2DEC(N13)</f>
        <v>55</v>
      </c>
    </row>
    <row r="13" spans="3:14" x14ac:dyDescent="0.25">
      <c r="C13" s="14"/>
      <c r="D13" s="9" t="str">
        <f>DEC2BIN(D12,8)</f>
        <v>00110111</v>
      </c>
      <c r="E13" s="9" t="s">
        <v>15</v>
      </c>
      <c r="F13" s="9" t="s">
        <v>16</v>
      </c>
      <c r="G13" s="9" t="s">
        <v>19</v>
      </c>
      <c r="H13" s="15"/>
      <c r="J13" s="14" t="s">
        <v>21</v>
      </c>
      <c r="K13" s="9" t="s">
        <v>14</v>
      </c>
      <c r="L13" s="9" t="s">
        <v>22</v>
      </c>
      <c r="M13" s="9"/>
      <c r="N13" s="15" t="str">
        <f>CONCATENATE(K18,K17,K16,K15)</f>
        <v>00110111</v>
      </c>
    </row>
    <row r="14" spans="3:14" x14ac:dyDescent="0.25">
      <c r="C14" s="14" t="s">
        <v>18</v>
      </c>
      <c r="D14" s="9"/>
      <c r="E14" s="10" t="s">
        <v>17</v>
      </c>
      <c r="F14" s="9">
        <v>0</v>
      </c>
      <c r="G14" s="9" t="str">
        <f>CONCATENATE(E14,F14)</f>
        <v>000</v>
      </c>
      <c r="H14" s="15"/>
      <c r="J14" s="14" t="str">
        <f>G14</f>
        <v>000</v>
      </c>
      <c r="K14" s="9" t="str">
        <f>LEFT(J14,2)</f>
        <v>00</v>
      </c>
      <c r="L14" s="9" t="str">
        <f>RIGHT(J14,1)</f>
        <v>0</v>
      </c>
      <c r="M14" s="9"/>
      <c r="N14" s="15"/>
    </row>
    <row r="15" spans="3:14" x14ac:dyDescent="0.25">
      <c r="C15" s="14">
        <f>D12</f>
        <v>55</v>
      </c>
      <c r="D15" s="9">
        <f>BITWISE_AND(C15,3)</f>
        <v>3</v>
      </c>
      <c r="E15" s="9" t="str">
        <f>DEC2BIN(D15,2)</f>
        <v>11</v>
      </c>
      <c r="F15" s="9">
        <f>IF(VALUE(E15)=VALUE(E14),BITWISE_XOR(F14,1),F14)</f>
        <v>0</v>
      </c>
      <c r="G15" s="9" t="str">
        <f t="shared" ref="G15:G19" si="0">CONCATENATE(E15,F15)</f>
        <v>110</v>
      </c>
      <c r="H15" s="15"/>
      <c r="J15" s="14" t="str">
        <f t="shared" ref="J15:J19" si="1">G15</f>
        <v>110</v>
      </c>
      <c r="K15" s="9" t="str">
        <f t="shared" ref="K15:K19" si="2">LEFT(J15,2)</f>
        <v>11</v>
      </c>
      <c r="L15" s="9" t="str">
        <f t="shared" ref="L15:L19" si="3">RIGHT(J15,1)</f>
        <v>0</v>
      </c>
      <c r="M15" s="9"/>
      <c r="N15" s="15"/>
    </row>
    <row r="16" spans="3:14" x14ac:dyDescent="0.25">
      <c r="C16" s="14">
        <f>FLOOR(C15/4,1)</f>
        <v>13</v>
      </c>
      <c r="D16" s="9">
        <f t="shared" ref="D16:D19" si="4">BITWISE_AND(C16,3)</f>
        <v>1</v>
      </c>
      <c r="E16" s="9" t="str">
        <f t="shared" ref="E16:E19" si="5">DEC2BIN(D16,2)</f>
        <v>01</v>
      </c>
      <c r="F16" s="9">
        <f>IF(VALUE(E16)=VALUE(E15),BITWISE_XOR(F15,1),F15)</f>
        <v>0</v>
      </c>
      <c r="G16" s="9" t="str">
        <f t="shared" si="0"/>
        <v>010</v>
      </c>
      <c r="H16" s="15"/>
      <c r="J16" s="14" t="str">
        <f t="shared" si="1"/>
        <v>010</v>
      </c>
      <c r="K16" s="9" t="str">
        <f t="shared" si="2"/>
        <v>01</v>
      </c>
      <c r="L16" s="9" t="str">
        <f t="shared" si="3"/>
        <v>0</v>
      </c>
      <c r="M16" s="9"/>
      <c r="N16" s="15"/>
    </row>
    <row r="17" spans="3:14" x14ac:dyDescent="0.25">
      <c r="C17" s="14">
        <f t="shared" ref="C17:C19" si="6">FLOOR(C16/4,1)</f>
        <v>3</v>
      </c>
      <c r="D17" s="9">
        <f t="shared" si="4"/>
        <v>3</v>
      </c>
      <c r="E17" s="9" t="str">
        <f t="shared" si="5"/>
        <v>11</v>
      </c>
      <c r="F17" s="9">
        <f>IF(VALUE(E17)=VALUE(E16),BITWISE_XOR(F16,1),F16)</f>
        <v>0</v>
      </c>
      <c r="G17" s="9" t="str">
        <f t="shared" si="0"/>
        <v>110</v>
      </c>
      <c r="H17" s="15"/>
      <c r="J17" s="14" t="str">
        <f t="shared" si="1"/>
        <v>110</v>
      </c>
      <c r="K17" s="9" t="str">
        <f t="shared" si="2"/>
        <v>11</v>
      </c>
      <c r="L17" s="9" t="str">
        <f t="shared" si="3"/>
        <v>0</v>
      </c>
      <c r="M17" s="9"/>
      <c r="N17" s="15"/>
    </row>
    <row r="18" spans="3:14" x14ac:dyDescent="0.25">
      <c r="C18" s="14">
        <f t="shared" si="6"/>
        <v>0</v>
      </c>
      <c r="D18" s="9">
        <f t="shared" si="4"/>
        <v>0</v>
      </c>
      <c r="E18" s="9" t="str">
        <f t="shared" si="5"/>
        <v>00</v>
      </c>
      <c r="F18" s="9">
        <f>IF(VALUE(E18)=VALUE(E17),BITWISE_XOR(F17,1),F17)</f>
        <v>0</v>
      </c>
      <c r="G18" s="9" t="str">
        <f t="shared" si="0"/>
        <v>000</v>
      </c>
      <c r="H18" s="15"/>
      <c r="J18" s="14" t="str">
        <f t="shared" si="1"/>
        <v>000</v>
      </c>
      <c r="K18" s="9" t="str">
        <f t="shared" si="2"/>
        <v>00</v>
      </c>
      <c r="L18" s="9" t="str">
        <f t="shared" si="3"/>
        <v>0</v>
      </c>
      <c r="M18" s="9"/>
      <c r="N18" s="15"/>
    </row>
    <row r="19" spans="3:14" x14ac:dyDescent="0.25">
      <c r="C19" s="16">
        <f t="shared" si="6"/>
        <v>0</v>
      </c>
      <c r="D19" s="17">
        <f t="shared" si="4"/>
        <v>0</v>
      </c>
      <c r="E19" s="17" t="str">
        <f t="shared" si="5"/>
        <v>00</v>
      </c>
      <c r="F19" s="17">
        <f>IF(VALUE(E19)=VALUE(E18),BITWISE_XOR(F18,1),F18)</f>
        <v>1</v>
      </c>
      <c r="G19" s="17" t="str">
        <f t="shared" si="0"/>
        <v>001</v>
      </c>
      <c r="H19" s="18"/>
      <c r="J19" s="16" t="str">
        <f t="shared" si="1"/>
        <v>001</v>
      </c>
      <c r="K19" s="17" t="str">
        <f t="shared" si="2"/>
        <v>00</v>
      </c>
      <c r="L19" s="17" t="str">
        <f t="shared" si="3"/>
        <v>1</v>
      </c>
      <c r="M19" s="17"/>
      <c r="N19" s="18"/>
    </row>
    <row r="21" spans="3:14" x14ac:dyDescent="0.25">
      <c r="J21" t="s">
        <v>25</v>
      </c>
    </row>
    <row r="22" spans="3:14" x14ac:dyDescent="0.25">
      <c r="J22" s="11"/>
      <c r="K22" s="12"/>
      <c r="L22" s="12"/>
      <c r="M22" s="12" t="s">
        <v>23</v>
      </c>
      <c r="N22" s="13">
        <f>BIN2DEC(N23)</f>
        <v>55</v>
      </c>
    </row>
    <row r="23" spans="3:14" x14ac:dyDescent="0.25">
      <c r="J23" s="14" t="s">
        <v>21</v>
      </c>
      <c r="K23" s="9" t="s">
        <v>14</v>
      </c>
      <c r="L23" s="9" t="s">
        <v>22</v>
      </c>
      <c r="M23" s="9"/>
      <c r="N23" s="15" t="str">
        <f>CONCATENATE(K31,K30,K27,K25)</f>
        <v>00110111</v>
      </c>
    </row>
    <row r="24" spans="3:14" x14ac:dyDescent="0.25">
      <c r="J24" s="14" t="str">
        <f>G14</f>
        <v>000</v>
      </c>
      <c r="K24" s="9" t="str">
        <f>IF(J24=J23,"",LEFT(J24,2))</f>
        <v>00</v>
      </c>
      <c r="L24" s="9" t="str">
        <f>IF(J24=J23,"",RIGHT(J24,1))</f>
        <v>0</v>
      </c>
      <c r="M24" s="9"/>
      <c r="N24" s="15"/>
    </row>
    <row r="25" spans="3:14" x14ac:dyDescent="0.25">
      <c r="J25" s="14" t="str">
        <f>G15</f>
        <v>110</v>
      </c>
      <c r="K25" s="9" t="str">
        <f>IF(J25=J24,"",LEFT(J25,2))</f>
        <v>11</v>
      </c>
      <c r="L25" s="9" t="str">
        <f>IF(J25=J24,"",RIGHT(J25,1))</f>
        <v>0</v>
      </c>
      <c r="M25" s="9"/>
      <c r="N25" s="15"/>
    </row>
    <row r="26" spans="3:14" x14ac:dyDescent="0.25">
      <c r="J26" s="14" t="str">
        <f>G15</f>
        <v>110</v>
      </c>
      <c r="K26" s="9" t="str">
        <f t="shared" ref="K26:K35" si="7">IF(J26=J25,"",LEFT(J26,2))</f>
        <v/>
      </c>
      <c r="L26" s="9" t="str">
        <f t="shared" ref="L26:L35" si="8">IF(J26=J25,"",RIGHT(J26,1))</f>
        <v/>
      </c>
      <c r="M26" s="9"/>
      <c r="N26" s="15"/>
    </row>
    <row r="27" spans="3:14" x14ac:dyDescent="0.25">
      <c r="J27" s="14" t="str">
        <f>G16</f>
        <v>010</v>
      </c>
      <c r="K27" s="9" t="str">
        <f t="shared" si="7"/>
        <v>01</v>
      </c>
      <c r="L27" s="9" t="str">
        <f t="shared" si="8"/>
        <v>0</v>
      </c>
      <c r="M27" s="9"/>
      <c r="N27" s="15"/>
    </row>
    <row r="28" spans="3:14" x14ac:dyDescent="0.25">
      <c r="J28" s="14" t="str">
        <f>G16</f>
        <v>010</v>
      </c>
      <c r="K28" s="9" t="str">
        <f t="shared" si="7"/>
        <v/>
      </c>
      <c r="L28" s="9" t="str">
        <f t="shared" si="8"/>
        <v/>
      </c>
      <c r="M28" s="9"/>
      <c r="N28" s="15"/>
    </row>
    <row r="29" spans="3:14" x14ac:dyDescent="0.25">
      <c r="J29" s="14" t="str">
        <f>G16</f>
        <v>010</v>
      </c>
      <c r="K29" s="9" t="str">
        <f t="shared" si="7"/>
        <v/>
      </c>
      <c r="L29" s="9" t="str">
        <f t="shared" si="8"/>
        <v/>
      </c>
      <c r="M29" s="9"/>
      <c r="N29" s="15"/>
    </row>
    <row r="30" spans="3:14" x14ac:dyDescent="0.25">
      <c r="J30" s="14" t="str">
        <f>G17</f>
        <v>110</v>
      </c>
      <c r="K30" s="9" t="str">
        <f t="shared" si="7"/>
        <v>11</v>
      </c>
      <c r="L30" s="9" t="str">
        <f t="shared" si="8"/>
        <v>0</v>
      </c>
      <c r="M30" s="9"/>
      <c r="N30" s="15"/>
    </row>
    <row r="31" spans="3:14" x14ac:dyDescent="0.25">
      <c r="J31" s="14" t="str">
        <f>G18</f>
        <v>000</v>
      </c>
      <c r="K31" s="9" t="str">
        <f t="shared" si="7"/>
        <v>00</v>
      </c>
      <c r="L31" s="9" t="str">
        <f t="shared" si="8"/>
        <v>0</v>
      </c>
      <c r="M31" s="9"/>
      <c r="N31" s="15"/>
    </row>
    <row r="32" spans="3:14" x14ac:dyDescent="0.25">
      <c r="J32" s="14" t="str">
        <f>G18</f>
        <v>000</v>
      </c>
      <c r="K32" s="9" t="str">
        <f t="shared" si="7"/>
        <v/>
      </c>
      <c r="L32" s="9" t="str">
        <f t="shared" si="8"/>
        <v/>
      </c>
      <c r="M32" s="9"/>
      <c r="N32" s="15"/>
    </row>
    <row r="33" spans="1:18" x14ac:dyDescent="0.25">
      <c r="J33" s="14" t="str">
        <f>G18</f>
        <v>000</v>
      </c>
      <c r="K33" s="9" t="str">
        <f t="shared" si="7"/>
        <v/>
      </c>
      <c r="L33" s="9" t="str">
        <f t="shared" si="8"/>
        <v/>
      </c>
      <c r="M33" s="9"/>
      <c r="N33" s="15"/>
    </row>
    <row r="34" spans="1:18" x14ac:dyDescent="0.25">
      <c r="J34" s="14" t="str">
        <f>G18</f>
        <v>000</v>
      </c>
      <c r="K34" s="9" t="str">
        <f t="shared" si="7"/>
        <v/>
      </c>
      <c r="L34" s="9" t="str">
        <f t="shared" si="8"/>
        <v/>
      </c>
      <c r="M34" s="9"/>
      <c r="N34" s="15"/>
    </row>
    <row r="35" spans="1:18" x14ac:dyDescent="0.25">
      <c r="J35" s="16" t="str">
        <f>G19</f>
        <v>001</v>
      </c>
      <c r="K35" s="17" t="str">
        <f t="shared" si="7"/>
        <v>00</v>
      </c>
      <c r="L35" s="17" t="str">
        <f t="shared" si="8"/>
        <v>1</v>
      </c>
      <c r="M35" s="17"/>
      <c r="N35" s="18"/>
    </row>
    <row r="38" spans="1:18" x14ac:dyDescent="0.25">
      <c r="A38" t="s">
        <v>28</v>
      </c>
      <c r="J38" t="s">
        <v>29</v>
      </c>
      <c r="Q38" s="5"/>
      <c r="R38" s="5"/>
    </row>
    <row r="39" spans="1:18" x14ac:dyDescent="0.25">
      <c r="A39" s="22" t="s">
        <v>26</v>
      </c>
      <c r="B39" s="12"/>
      <c r="C39" s="12"/>
      <c r="D39" s="19"/>
      <c r="E39" s="12"/>
      <c r="F39" s="12"/>
      <c r="G39" s="12"/>
      <c r="H39" s="20"/>
      <c r="J39" s="11"/>
      <c r="K39" s="12"/>
      <c r="L39" s="12"/>
      <c r="M39" s="12"/>
      <c r="N39" s="12"/>
      <c r="O39" s="13" t="s">
        <v>23</v>
      </c>
      <c r="Q39" s="5"/>
      <c r="R39" s="5"/>
    </row>
    <row r="40" spans="1:18" x14ac:dyDescent="0.25">
      <c r="A40" s="14"/>
      <c r="B40" s="9"/>
      <c r="C40" s="9"/>
      <c r="D40" s="9"/>
      <c r="E40" s="9" t="s">
        <v>15</v>
      </c>
      <c r="F40" s="9" t="s">
        <v>16</v>
      </c>
      <c r="G40" s="9" t="s">
        <v>27</v>
      </c>
      <c r="H40" s="15"/>
      <c r="J40" s="14" t="s">
        <v>21</v>
      </c>
      <c r="K40" s="9" t="s">
        <v>14</v>
      </c>
      <c r="L40" s="9" t="s">
        <v>22</v>
      </c>
      <c r="M40" s="21" t="s">
        <v>18</v>
      </c>
      <c r="N40" s="21" t="s">
        <v>14</v>
      </c>
      <c r="O40" s="15"/>
      <c r="Q40" s="5"/>
      <c r="R40" s="5"/>
    </row>
    <row r="41" spans="1:18" x14ac:dyDescent="0.25">
      <c r="A41" s="14"/>
      <c r="B41" s="9"/>
      <c r="C41" s="9"/>
      <c r="D41" s="9"/>
      <c r="E41" s="9"/>
      <c r="F41" s="9"/>
      <c r="G41" s="9"/>
      <c r="H41" s="15"/>
      <c r="J41" s="14"/>
      <c r="K41" s="9"/>
      <c r="L41" s="9"/>
      <c r="M41" s="21"/>
      <c r="N41" s="21" t="b">
        <v>0</v>
      </c>
      <c r="O41" s="15"/>
      <c r="Q41" s="5"/>
      <c r="R41" s="5"/>
    </row>
    <row r="42" spans="1:18" x14ac:dyDescent="0.25">
      <c r="A42" s="14"/>
      <c r="B42" s="9"/>
      <c r="C42" s="9"/>
      <c r="D42" s="9"/>
      <c r="E42" s="9"/>
      <c r="F42" s="9"/>
      <c r="G42" s="9"/>
      <c r="H42" s="15"/>
      <c r="J42" s="14"/>
      <c r="K42" s="9"/>
      <c r="L42" s="9"/>
      <c r="M42" s="21"/>
      <c r="N42" s="21" t="b">
        <v>0</v>
      </c>
      <c r="O42" s="15"/>
      <c r="Q42" s="5"/>
      <c r="R42" s="5"/>
    </row>
    <row r="43" spans="1:18" x14ac:dyDescent="0.25">
      <c r="A43" s="14"/>
      <c r="B43" s="9"/>
      <c r="C43" s="9"/>
      <c r="D43" s="9"/>
      <c r="E43" s="10" t="s">
        <v>17</v>
      </c>
      <c r="F43" s="9">
        <v>0</v>
      </c>
      <c r="G43" s="9" t="str">
        <f>CONCATENATE(E43,F43)</f>
        <v>000</v>
      </c>
      <c r="H43" s="23" t="str">
        <f>G43</f>
        <v>000</v>
      </c>
      <c r="I43">
        <f>BIN2DEC(G43)</f>
        <v>0</v>
      </c>
      <c r="J43" s="14" t="str">
        <f>G43</f>
        <v>000</v>
      </c>
      <c r="K43" s="9" t="str">
        <f>IF(J43=J40,"",LEFT(J43,2))</f>
        <v>00</v>
      </c>
      <c r="L43" s="9" t="str">
        <f>IF(J43=J40,"",RIGHT(J43,1))</f>
        <v>0</v>
      </c>
      <c r="M43" s="9"/>
      <c r="N43" s="9" t="b">
        <v>0</v>
      </c>
      <c r="O43" s="15"/>
      <c r="Q43" s="5"/>
      <c r="R43" s="5"/>
    </row>
    <row r="44" spans="1:18" x14ac:dyDescent="0.25">
      <c r="A44" s="14"/>
      <c r="B44" s="9" t="b">
        <f>COUNT(A39:A44)&gt;0</f>
        <v>0</v>
      </c>
      <c r="C44" s="9">
        <f t="shared" ref="C44:C55" si="9">IF(A44="",FLOOR(C43/4,1),A44)</f>
        <v>0</v>
      </c>
      <c r="D44" s="9">
        <f>BITWISE_AND(C44,3)</f>
        <v>0</v>
      </c>
      <c r="E44" s="9" t="str">
        <f t="shared" ref="E44:E65" si="10">DEC2BIN(D44,2)</f>
        <v>00</v>
      </c>
      <c r="F44" s="9" t="str">
        <f t="shared" ref="F44:F61" si="11">IF(VALUE(E44)=VALUE(LEFT(G43,2)),IF(RIGHT(G43,1)="1","0","1"),RIGHT(G43,1))</f>
        <v>1</v>
      </c>
      <c r="G44" s="9" t="str">
        <f>IF(B44=TRUE,CONCATENATE(E44,F44),DEC2BIN(BITWISE_XOR(BIN2DEC(G43),7),3))</f>
        <v>111</v>
      </c>
      <c r="H44" s="23" t="str">
        <f t="shared" ref="H44:H65" si="12">G44</f>
        <v>111</v>
      </c>
      <c r="I44">
        <f t="shared" ref="I44:I65" si="13">BIN2DEC(G44)</f>
        <v>7</v>
      </c>
      <c r="J44" s="14" t="str">
        <f t="shared" ref="J44:J48" si="14">G44</f>
        <v>111</v>
      </c>
      <c r="K44" s="9" t="str">
        <f t="shared" ref="K44:K65" si="15">IF(J44=J43,"",LEFT(J44,2))</f>
        <v>11</v>
      </c>
      <c r="L44" s="9" t="str">
        <f t="shared" ref="L44:L48" si="16">IF(J44=J43,"",RIGHT(J44,1))</f>
        <v>1</v>
      </c>
      <c r="M44" s="9" t="b">
        <f>BITWISE_XOR(BIN2DEC(J43),7)=BIN2DEC(J44)</f>
        <v>1</v>
      </c>
      <c r="N44" s="9" t="b">
        <f>AND(COUNTIF(M44:M47,FALSE)=4,COUNTIF(N41:N43,FALSE)=3)</f>
        <v>0</v>
      </c>
      <c r="O44" s="15" t="str">
        <f t="shared" ref="O44:O55" si="17">IF(N44=TRUE,BIN2DEC(CONCATENATE(K47,K46,K45,K44)),"")</f>
        <v/>
      </c>
      <c r="Q44" s="5"/>
      <c r="R44" s="5"/>
    </row>
    <row r="45" spans="1:18" x14ac:dyDescent="0.25">
      <c r="A45" s="14"/>
      <c r="B45" s="9" t="b">
        <f>COUNT(A40:A45)&gt;0</f>
        <v>0</v>
      </c>
      <c r="C45" s="9">
        <f>IF(A45="",FLOOR(C44/4,1),A45)</f>
        <v>0</v>
      </c>
      <c r="D45" s="9">
        <f t="shared" ref="D45:D65" si="18">BITWISE_AND(C45,3)</f>
        <v>0</v>
      </c>
      <c r="E45" s="9" t="str">
        <f t="shared" si="10"/>
        <v>00</v>
      </c>
      <c r="F45" s="9" t="str">
        <f t="shared" si="11"/>
        <v>1</v>
      </c>
      <c r="G45" s="9" t="str">
        <f>IF(B45=TRUE,CONCATENATE(E45,F45),DEC2BIN(BITWISE_XOR(BIN2DEC(G44),7),3))</f>
        <v>000</v>
      </c>
      <c r="H45" s="23" t="str">
        <f t="shared" si="12"/>
        <v>000</v>
      </c>
      <c r="I45">
        <f t="shared" si="13"/>
        <v>0</v>
      </c>
      <c r="J45" s="14" t="str">
        <f t="shared" si="14"/>
        <v>000</v>
      </c>
      <c r="K45" s="9" t="str">
        <f t="shared" si="15"/>
        <v>00</v>
      </c>
      <c r="L45" s="9" t="str">
        <f t="shared" si="16"/>
        <v>0</v>
      </c>
      <c r="M45" s="9" t="b">
        <f>BITWISE_XOR(BIN2DEC(J44),7)=BIN2DEC(J45)</f>
        <v>1</v>
      </c>
      <c r="N45" s="9" t="b">
        <f>AND(COUNTIF(M45:M48,FALSE)=4,COUNTIF(N42:N44,FALSE)=3)</f>
        <v>0</v>
      </c>
      <c r="O45" s="15" t="str">
        <f t="shared" si="17"/>
        <v/>
      </c>
      <c r="P45">
        <v>61</v>
      </c>
      <c r="Q45" s="5"/>
      <c r="R45" s="5"/>
    </row>
    <row r="46" spans="1:18" x14ac:dyDescent="0.25">
      <c r="A46" s="14"/>
      <c r="B46" s="9" t="b">
        <f t="shared" ref="B46:B65" si="19">COUNT(A43:A46)&gt;0</f>
        <v>0</v>
      </c>
      <c r="C46" s="9">
        <f t="shared" si="9"/>
        <v>0</v>
      </c>
      <c r="D46" s="9">
        <f t="shared" si="18"/>
        <v>0</v>
      </c>
      <c r="E46" s="9" t="str">
        <f t="shared" si="10"/>
        <v>00</v>
      </c>
      <c r="F46" s="9" t="str">
        <f t="shared" si="11"/>
        <v>1</v>
      </c>
      <c r="G46" s="9" t="str">
        <f>IF(B46=TRUE,CONCATENATE(E46,F46),DEC2BIN(BITWISE_XOR(BIN2DEC(G45),7),3))</f>
        <v>111</v>
      </c>
      <c r="H46" s="23" t="str">
        <f t="shared" si="12"/>
        <v>111</v>
      </c>
      <c r="I46">
        <f t="shared" si="13"/>
        <v>7</v>
      </c>
      <c r="J46" s="14" t="str">
        <f t="shared" si="14"/>
        <v>111</v>
      </c>
      <c r="K46" s="9" t="str">
        <f t="shared" si="15"/>
        <v>11</v>
      </c>
      <c r="L46" s="9" t="str">
        <f t="shared" si="16"/>
        <v>1</v>
      </c>
      <c r="M46" s="9" t="b">
        <f>BITWISE_XOR(BIN2DEC(J45),7)=BIN2DEC(J46)</f>
        <v>1</v>
      </c>
      <c r="N46" s="9" t="b">
        <f t="shared" ref="N46:N65" si="20">AND(COUNTIF(M46:M49,FALSE)=4,COUNTIF(N43:N45,FALSE)=3)</f>
        <v>0</v>
      </c>
      <c r="O46" s="15" t="str">
        <f t="shared" si="17"/>
        <v/>
      </c>
      <c r="Q46" s="5"/>
      <c r="R46" s="5"/>
    </row>
    <row r="47" spans="1:18" x14ac:dyDescent="0.25">
      <c r="A47" s="14"/>
      <c r="B47" s="9" t="b">
        <f t="shared" si="19"/>
        <v>0</v>
      </c>
      <c r="C47" s="9">
        <f t="shared" si="9"/>
        <v>0</v>
      </c>
      <c r="D47" s="9">
        <f t="shared" si="18"/>
        <v>0</v>
      </c>
      <c r="E47" s="9" t="str">
        <f t="shared" si="10"/>
        <v>00</v>
      </c>
      <c r="F47" s="9" t="str">
        <f t="shared" si="11"/>
        <v>1</v>
      </c>
      <c r="G47" s="9" t="str">
        <f>IF(B47=TRUE,CONCATENATE(E47,F47),DEC2BIN(BITWISE_XOR(BIN2DEC(G46),7),3))</f>
        <v>000</v>
      </c>
      <c r="H47" s="23" t="str">
        <f t="shared" si="12"/>
        <v>000</v>
      </c>
      <c r="I47">
        <f t="shared" si="13"/>
        <v>0</v>
      </c>
      <c r="J47" s="14" t="str">
        <f t="shared" si="14"/>
        <v>000</v>
      </c>
      <c r="K47" s="9" t="str">
        <f t="shared" si="15"/>
        <v>00</v>
      </c>
      <c r="L47" s="9" t="str">
        <f t="shared" si="16"/>
        <v>0</v>
      </c>
      <c r="M47" s="9" t="b">
        <f>BITWISE_XOR(BIN2DEC(J46),7)=BIN2DEC(J47)</f>
        <v>1</v>
      </c>
      <c r="N47" s="9" t="b">
        <f t="shared" si="20"/>
        <v>0</v>
      </c>
      <c r="O47" s="15" t="str">
        <f t="shared" si="17"/>
        <v/>
      </c>
      <c r="Q47" s="5"/>
      <c r="R47" s="5"/>
    </row>
    <row r="48" spans="1:18" x14ac:dyDescent="0.25">
      <c r="A48" s="14"/>
      <c r="B48" s="9" t="b">
        <f t="shared" si="19"/>
        <v>0</v>
      </c>
      <c r="C48" s="9">
        <f t="shared" si="9"/>
        <v>0</v>
      </c>
      <c r="D48" s="9">
        <f t="shared" si="18"/>
        <v>0</v>
      </c>
      <c r="E48" s="9" t="str">
        <f t="shared" si="10"/>
        <v>00</v>
      </c>
      <c r="F48" s="9" t="str">
        <f t="shared" si="11"/>
        <v>1</v>
      </c>
      <c r="G48" s="9" t="str">
        <f>IF(B48=TRUE,CONCATENATE(E48,F48),DEC2BIN(BITWISE_XOR(BIN2DEC(G47),7),3))</f>
        <v>111</v>
      </c>
      <c r="H48" s="23" t="str">
        <f t="shared" si="12"/>
        <v>111</v>
      </c>
      <c r="I48">
        <f t="shared" si="13"/>
        <v>7</v>
      </c>
      <c r="J48" s="14" t="str">
        <f t="shared" si="14"/>
        <v>111</v>
      </c>
      <c r="K48" s="9" t="str">
        <f t="shared" si="15"/>
        <v>11</v>
      </c>
      <c r="L48" s="9" t="str">
        <f t="shared" si="16"/>
        <v>1</v>
      </c>
      <c r="M48" s="9" t="b">
        <f>BITWISE_XOR(BIN2DEC(J47),7)=BIN2DEC(J48)</f>
        <v>1</v>
      </c>
      <c r="N48" s="9" t="b">
        <f t="shared" si="20"/>
        <v>0</v>
      </c>
      <c r="O48" s="15" t="str">
        <f t="shared" si="17"/>
        <v/>
      </c>
      <c r="Q48" s="5"/>
      <c r="R48" s="5"/>
    </row>
    <row r="49" spans="1:18" x14ac:dyDescent="0.25">
      <c r="A49" s="14"/>
      <c r="B49" s="9" t="b">
        <f t="shared" si="19"/>
        <v>0</v>
      </c>
      <c r="C49" s="9">
        <f t="shared" si="9"/>
        <v>0</v>
      </c>
      <c r="D49" s="9">
        <f t="shared" si="18"/>
        <v>0</v>
      </c>
      <c r="E49" s="9" t="str">
        <f t="shared" si="10"/>
        <v>00</v>
      </c>
      <c r="F49" s="9" t="str">
        <f t="shared" si="11"/>
        <v>1</v>
      </c>
      <c r="G49" s="9" t="str">
        <f>IF(B49=TRUE,CONCATENATE(E49,F49),DEC2BIN(BITWISE_XOR(BIN2DEC(G48),7),3))</f>
        <v>000</v>
      </c>
      <c r="H49" s="23" t="str">
        <f t="shared" si="12"/>
        <v>000</v>
      </c>
      <c r="I49">
        <f t="shared" si="13"/>
        <v>0</v>
      </c>
      <c r="J49" s="14" t="str">
        <f t="shared" ref="J49:J55" si="21">G49</f>
        <v>000</v>
      </c>
      <c r="K49" s="9" t="str">
        <f t="shared" si="15"/>
        <v>00</v>
      </c>
      <c r="L49" s="9" t="str">
        <f t="shared" ref="L49:L55" si="22">IF(J49=J48,"",RIGHT(J49,1))</f>
        <v>0</v>
      </c>
      <c r="M49" s="9" t="b">
        <f>BITWISE_XOR(BIN2DEC(J48),7)=BIN2DEC(J49)</f>
        <v>1</v>
      </c>
      <c r="N49" s="9" t="b">
        <f t="shared" si="20"/>
        <v>0</v>
      </c>
      <c r="O49" s="15" t="str">
        <f t="shared" si="17"/>
        <v/>
      </c>
      <c r="Q49" s="5"/>
      <c r="R49" s="5"/>
    </row>
    <row r="50" spans="1:18" x14ac:dyDescent="0.25">
      <c r="A50" s="14"/>
      <c r="B50" s="9" t="b">
        <f t="shared" si="19"/>
        <v>0</v>
      </c>
      <c r="C50" s="9">
        <f t="shared" si="9"/>
        <v>0</v>
      </c>
      <c r="D50" s="9">
        <f t="shared" si="18"/>
        <v>0</v>
      </c>
      <c r="E50" s="9" t="str">
        <f t="shared" si="10"/>
        <v>00</v>
      </c>
      <c r="F50" s="9" t="str">
        <f t="shared" si="11"/>
        <v>1</v>
      </c>
      <c r="G50" s="9" t="str">
        <f>IF(B50=TRUE,CONCATENATE(E50,F50),DEC2BIN(BITWISE_XOR(BIN2DEC(G49),7),3))</f>
        <v>111</v>
      </c>
      <c r="H50" s="23" t="str">
        <f t="shared" si="12"/>
        <v>111</v>
      </c>
      <c r="I50">
        <f t="shared" si="13"/>
        <v>7</v>
      </c>
      <c r="J50" s="14" t="str">
        <f t="shared" si="21"/>
        <v>111</v>
      </c>
      <c r="K50" s="9" t="str">
        <f t="shared" si="15"/>
        <v>11</v>
      </c>
      <c r="L50" s="9" t="str">
        <f t="shared" si="22"/>
        <v>1</v>
      </c>
      <c r="M50" s="9" t="b">
        <f>BITWISE_XOR(BIN2DEC(J49),7)=BIN2DEC(J50)</f>
        <v>1</v>
      </c>
      <c r="N50" s="9" t="b">
        <f t="shared" si="20"/>
        <v>0</v>
      </c>
      <c r="O50" s="15" t="str">
        <f t="shared" si="17"/>
        <v/>
      </c>
    </row>
    <row r="51" spans="1:18" x14ac:dyDescent="0.25">
      <c r="A51" s="14">
        <v>21</v>
      </c>
      <c r="B51" s="9" t="b">
        <f t="shared" si="19"/>
        <v>1</v>
      </c>
      <c r="C51" s="9">
        <f t="shared" si="9"/>
        <v>21</v>
      </c>
      <c r="D51" s="9">
        <f t="shared" si="18"/>
        <v>1</v>
      </c>
      <c r="E51" s="9" t="str">
        <f t="shared" si="10"/>
        <v>01</v>
      </c>
      <c r="F51" s="9" t="str">
        <f t="shared" si="11"/>
        <v>1</v>
      </c>
      <c r="G51" s="9" t="str">
        <f>IF(B51=TRUE,CONCATENATE(E51,F51),DEC2BIN(BITWISE_XOR(BIN2DEC(G50),7),3))</f>
        <v>011</v>
      </c>
      <c r="H51" s="23" t="str">
        <f t="shared" si="12"/>
        <v>011</v>
      </c>
      <c r="I51">
        <f t="shared" si="13"/>
        <v>3</v>
      </c>
      <c r="J51" s="14" t="str">
        <f t="shared" si="21"/>
        <v>011</v>
      </c>
      <c r="K51" s="9" t="str">
        <f t="shared" si="15"/>
        <v>01</v>
      </c>
      <c r="L51" s="9" t="str">
        <f t="shared" si="22"/>
        <v>1</v>
      </c>
      <c r="M51" s="9" t="b">
        <f>BITWISE_XOR(BIN2DEC(J50),7)=BIN2DEC(J51)</f>
        <v>0</v>
      </c>
      <c r="N51" s="9" t="b">
        <f t="shared" si="20"/>
        <v>1</v>
      </c>
      <c r="O51" s="15">
        <f t="shared" si="17"/>
        <v>21</v>
      </c>
      <c r="P51">
        <v>21</v>
      </c>
    </row>
    <row r="52" spans="1:18" x14ac:dyDescent="0.25">
      <c r="A52" s="14"/>
      <c r="B52" s="9" t="b">
        <f t="shared" si="19"/>
        <v>1</v>
      </c>
      <c r="C52" s="9">
        <f t="shared" si="9"/>
        <v>5</v>
      </c>
      <c r="D52" s="9">
        <f t="shared" si="18"/>
        <v>1</v>
      </c>
      <c r="E52" s="9" t="str">
        <f t="shared" si="10"/>
        <v>01</v>
      </c>
      <c r="F52" s="9" t="str">
        <f t="shared" si="11"/>
        <v>0</v>
      </c>
      <c r="G52" s="9" t="str">
        <f>IF(B52=TRUE,CONCATENATE(E52,F52),DEC2BIN(BITWISE_XOR(BIN2DEC(G51),7),3))</f>
        <v>010</v>
      </c>
      <c r="H52" s="23" t="str">
        <f t="shared" si="12"/>
        <v>010</v>
      </c>
      <c r="I52">
        <f t="shared" si="13"/>
        <v>2</v>
      </c>
      <c r="J52" s="14" t="str">
        <f t="shared" si="21"/>
        <v>010</v>
      </c>
      <c r="K52" s="9" t="str">
        <f t="shared" si="15"/>
        <v>01</v>
      </c>
      <c r="L52" s="9" t="str">
        <f t="shared" si="22"/>
        <v>0</v>
      </c>
      <c r="M52" s="9" t="b">
        <f>BITWISE_XOR(BIN2DEC(J51),7)=BIN2DEC(J52)</f>
        <v>0</v>
      </c>
      <c r="N52" s="9" t="b">
        <f t="shared" si="20"/>
        <v>0</v>
      </c>
      <c r="O52" s="15" t="str">
        <f t="shared" si="17"/>
        <v/>
      </c>
    </row>
    <row r="53" spans="1:18" x14ac:dyDescent="0.25">
      <c r="A53" s="14"/>
      <c r="B53" s="9" t="b">
        <f t="shared" si="19"/>
        <v>1</v>
      </c>
      <c r="C53" s="9">
        <f t="shared" si="9"/>
        <v>1</v>
      </c>
      <c r="D53" s="9">
        <f t="shared" si="18"/>
        <v>1</v>
      </c>
      <c r="E53" s="9" t="str">
        <f t="shared" si="10"/>
        <v>01</v>
      </c>
      <c r="F53" s="9" t="str">
        <f t="shared" si="11"/>
        <v>1</v>
      </c>
      <c r="G53" s="9" t="str">
        <f>IF(B53=TRUE,CONCATENATE(E53,F53),DEC2BIN(BITWISE_XOR(BIN2DEC(G52),7),3))</f>
        <v>011</v>
      </c>
      <c r="H53" s="23" t="str">
        <f t="shared" si="12"/>
        <v>011</v>
      </c>
      <c r="I53">
        <f t="shared" si="13"/>
        <v>3</v>
      </c>
      <c r="J53" s="14" t="str">
        <f t="shared" si="21"/>
        <v>011</v>
      </c>
      <c r="K53" s="9" t="str">
        <f t="shared" si="15"/>
        <v>01</v>
      </c>
      <c r="L53" s="9" t="str">
        <f t="shared" si="22"/>
        <v>1</v>
      </c>
      <c r="M53" s="9" t="b">
        <f>BITWISE_XOR(BIN2DEC(J52),7)=BIN2DEC(J53)</f>
        <v>0</v>
      </c>
      <c r="N53" s="9" t="b">
        <f t="shared" si="20"/>
        <v>0</v>
      </c>
      <c r="O53" s="15" t="str">
        <f t="shared" si="17"/>
        <v/>
      </c>
    </row>
    <row r="54" spans="1:18" x14ac:dyDescent="0.25">
      <c r="A54" s="14"/>
      <c r="B54" s="9" t="b">
        <f t="shared" si="19"/>
        <v>1</v>
      </c>
      <c r="C54" s="9">
        <f t="shared" si="9"/>
        <v>0</v>
      </c>
      <c r="D54" s="9">
        <f t="shared" si="18"/>
        <v>0</v>
      </c>
      <c r="E54" s="9" t="str">
        <f t="shared" si="10"/>
        <v>00</v>
      </c>
      <c r="F54" s="9" t="str">
        <f t="shared" si="11"/>
        <v>1</v>
      </c>
      <c r="G54" s="9" t="str">
        <f>IF(B54=TRUE,CONCATENATE(E54,F54),DEC2BIN(BITWISE_XOR(BIN2DEC(G53),7),3))</f>
        <v>001</v>
      </c>
      <c r="H54" s="23" t="str">
        <f t="shared" si="12"/>
        <v>001</v>
      </c>
      <c r="I54">
        <f t="shared" si="13"/>
        <v>1</v>
      </c>
      <c r="J54" s="14" t="str">
        <f t="shared" si="21"/>
        <v>001</v>
      </c>
      <c r="K54" s="9" t="str">
        <f t="shared" si="15"/>
        <v>00</v>
      </c>
      <c r="L54" s="9" t="str">
        <f t="shared" si="22"/>
        <v>1</v>
      </c>
      <c r="M54" s="9" t="b">
        <f>BITWISE_XOR(BIN2DEC(J53),7)=BIN2DEC(J54)</f>
        <v>0</v>
      </c>
      <c r="N54" s="9" t="b">
        <f t="shared" si="20"/>
        <v>0</v>
      </c>
      <c r="O54" s="15" t="str">
        <f t="shared" si="17"/>
        <v/>
      </c>
    </row>
    <row r="55" spans="1:18" x14ac:dyDescent="0.25">
      <c r="A55" s="14"/>
      <c r="B55" s="9" t="b">
        <f t="shared" si="19"/>
        <v>0</v>
      </c>
      <c r="C55" s="9">
        <f t="shared" si="9"/>
        <v>0</v>
      </c>
      <c r="D55" s="9">
        <f t="shared" si="18"/>
        <v>0</v>
      </c>
      <c r="E55" s="9" t="str">
        <f t="shared" si="10"/>
        <v>00</v>
      </c>
      <c r="F55" s="9" t="str">
        <f t="shared" si="11"/>
        <v>0</v>
      </c>
      <c r="G55" s="9" t="str">
        <f>IF(B55=TRUE,CONCATENATE(E55,F55),DEC2BIN(BITWISE_XOR(BIN2DEC(G54),7),3))</f>
        <v>110</v>
      </c>
      <c r="H55" s="23" t="str">
        <f t="shared" si="12"/>
        <v>110</v>
      </c>
      <c r="I55">
        <f t="shared" si="13"/>
        <v>6</v>
      </c>
      <c r="J55" s="14" t="str">
        <f t="shared" si="21"/>
        <v>110</v>
      </c>
      <c r="K55" s="9" t="str">
        <f t="shared" si="15"/>
        <v>11</v>
      </c>
      <c r="L55" s="9" t="str">
        <f t="shared" si="22"/>
        <v>0</v>
      </c>
      <c r="M55" s="9" t="b">
        <f>BITWISE_XOR(BIN2DEC(J54),7)=BIN2DEC(J55)</f>
        <v>1</v>
      </c>
      <c r="N55" s="9" t="b">
        <f t="shared" si="20"/>
        <v>0</v>
      </c>
      <c r="O55" s="15" t="str">
        <f t="shared" si="17"/>
        <v/>
      </c>
      <c r="P55">
        <v>250</v>
      </c>
    </row>
    <row r="56" spans="1:18" x14ac:dyDescent="0.25">
      <c r="A56" s="14"/>
      <c r="B56" s="9" t="b">
        <f t="shared" si="19"/>
        <v>0</v>
      </c>
      <c r="C56" s="9">
        <f t="shared" ref="C56:C62" si="23">IF(A56="",FLOOR(C55/4,1),A56)</f>
        <v>0</v>
      </c>
      <c r="D56" s="9">
        <f t="shared" si="18"/>
        <v>0</v>
      </c>
      <c r="E56" s="9" t="str">
        <f t="shared" si="10"/>
        <v>00</v>
      </c>
      <c r="F56" s="9" t="str">
        <f t="shared" si="11"/>
        <v>0</v>
      </c>
      <c r="G56" s="9" t="str">
        <f>IF(B56=TRUE,CONCATENATE(E56,F56),DEC2BIN(BITWISE_XOR(BIN2DEC(G55),7),3))</f>
        <v>001</v>
      </c>
      <c r="H56" s="23" t="str">
        <f t="shared" si="12"/>
        <v>001</v>
      </c>
      <c r="I56">
        <f t="shared" si="13"/>
        <v>1</v>
      </c>
      <c r="J56" s="14" t="str">
        <f t="shared" ref="J56:J62" si="24">G56</f>
        <v>001</v>
      </c>
      <c r="K56" s="9" t="str">
        <f t="shared" si="15"/>
        <v>00</v>
      </c>
      <c r="L56" s="9" t="str">
        <f t="shared" ref="L56:L62" si="25">IF(J56=J55,"",RIGHT(J56,1))</f>
        <v>1</v>
      </c>
      <c r="M56" s="9" t="b">
        <f>BITWISE_XOR(BIN2DEC(J55),7)=BIN2DEC(J56)</f>
        <v>1</v>
      </c>
      <c r="N56" s="9" t="b">
        <f t="shared" si="20"/>
        <v>0</v>
      </c>
      <c r="O56" s="15" t="str">
        <f t="shared" ref="O56:O61" si="26">IF(N56=TRUE,BIN2DEC(CONCATENATE(K59,K58,K57,K56)),"")</f>
        <v/>
      </c>
    </row>
    <row r="57" spans="1:18" x14ac:dyDescent="0.25">
      <c r="A57" s="14">
        <v>5</v>
      </c>
      <c r="B57" s="9" t="b">
        <f t="shared" si="19"/>
        <v>1</v>
      </c>
      <c r="C57" s="9">
        <f t="shared" si="23"/>
        <v>5</v>
      </c>
      <c r="D57" s="9">
        <f t="shared" si="18"/>
        <v>1</v>
      </c>
      <c r="E57" s="9" t="str">
        <f>DEC2BIN(D57,2)</f>
        <v>01</v>
      </c>
      <c r="F57" s="9" t="str">
        <f t="shared" si="11"/>
        <v>1</v>
      </c>
      <c r="G57" s="9" t="str">
        <f>IF(B57=TRUE,CONCATENATE(E57,F57),DEC2BIN(BITWISE_XOR(BIN2DEC(G56),7),3))</f>
        <v>011</v>
      </c>
      <c r="H57" s="23" t="str">
        <f t="shared" si="12"/>
        <v>011</v>
      </c>
      <c r="I57">
        <f t="shared" si="13"/>
        <v>3</v>
      </c>
      <c r="J57" s="14" t="str">
        <f t="shared" si="24"/>
        <v>011</v>
      </c>
      <c r="K57" s="9" t="str">
        <f t="shared" si="15"/>
        <v>01</v>
      </c>
      <c r="L57" s="9" t="str">
        <f t="shared" si="25"/>
        <v>1</v>
      </c>
      <c r="M57" s="9" t="b">
        <f>BITWISE_XOR(BIN2DEC(J56),7)=BIN2DEC(J57)</f>
        <v>0</v>
      </c>
      <c r="N57" s="9" t="b">
        <f t="shared" si="20"/>
        <v>1</v>
      </c>
      <c r="O57" s="15">
        <f t="shared" si="26"/>
        <v>5</v>
      </c>
    </row>
    <row r="58" spans="1:18" x14ac:dyDescent="0.25">
      <c r="A58" s="14"/>
      <c r="B58" s="9" t="b">
        <f t="shared" si="19"/>
        <v>1</v>
      </c>
      <c r="C58" s="9">
        <f t="shared" si="23"/>
        <v>1</v>
      </c>
      <c r="D58" s="9">
        <f t="shared" si="18"/>
        <v>1</v>
      </c>
      <c r="E58" s="9" t="str">
        <f t="shared" si="10"/>
        <v>01</v>
      </c>
      <c r="F58" s="9" t="str">
        <f t="shared" si="11"/>
        <v>0</v>
      </c>
      <c r="G58" s="9" t="str">
        <f>IF(B58=TRUE,CONCATENATE(E58,F58),DEC2BIN(BITWISE_XOR(BIN2DEC(G57),7),3))</f>
        <v>010</v>
      </c>
      <c r="H58" s="23" t="str">
        <f t="shared" si="12"/>
        <v>010</v>
      </c>
      <c r="I58">
        <f t="shared" si="13"/>
        <v>2</v>
      </c>
      <c r="J58" s="14" t="str">
        <f t="shared" si="24"/>
        <v>010</v>
      </c>
      <c r="K58" s="9" t="str">
        <f t="shared" si="15"/>
        <v>01</v>
      </c>
      <c r="L58" s="9" t="str">
        <f t="shared" si="25"/>
        <v>0</v>
      </c>
      <c r="M58" s="9" t="b">
        <f>BITWISE_XOR(BIN2DEC(J57),7)=BIN2DEC(J58)</f>
        <v>0</v>
      </c>
      <c r="N58" s="9" t="b">
        <f t="shared" si="20"/>
        <v>0</v>
      </c>
      <c r="O58" s="15" t="str">
        <f t="shared" si="26"/>
        <v/>
      </c>
    </row>
    <row r="59" spans="1:18" x14ac:dyDescent="0.25">
      <c r="A59" s="14"/>
      <c r="B59" s="9" t="b">
        <f t="shared" si="19"/>
        <v>1</v>
      </c>
      <c r="C59" s="9">
        <f t="shared" si="23"/>
        <v>0</v>
      </c>
      <c r="D59" s="9">
        <f t="shared" si="18"/>
        <v>0</v>
      </c>
      <c r="E59" s="9" t="str">
        <f t="shared" si="10"/>
        <v>00</v>
      </c>
      <c r="F59" s="9" t="str">
        <f t="shared" si="11"/>
        <v>0</v>
      </c>
      <c r="G59" s="9" t="str">
        <f>IF(B59=TRUE,CONCATENATE(E59,F59),DEC2BIN(BITWISE_XOR(BIN2DEC(G58),7),3))</f>
        <v>000</v>
      </c>
      <c r="H59" s="23" t="str">
        <f t="shared" si="12"/>
        <v>000</v>
      </c>
      <c r="I59">
        <f t="shared" si="13"/>
        <v>0</v>
      </c>
      <c r="J59" s="14" t="str">
        <f t="shared" si="24"/>
        <v>000</v>
      </c>
      <c r="K59" s="9" t="str">
        <f t="shared" si="15"/>
        <v>00</v>
      </c>
      <c r="L59" s="9" t="str">
        <f t="shared" si="25"/>
        <v>0</v>
      </c>
      <c r="M59" s="9" t="b">
        <f>BITWISE_XOR(BIN2DEC(J58),7)=BIN2DEC(J59)</f>
        <v>0</v>
      </c>
      <c r="N59" s="9" t="b">
        <f t="shared" si="20"/>
        <v>0</v>
      </c>
      <c r="O59" s="15" t="str">
        <f>IF(N59=TRUE,BIN2DEC(CONCATENATE(K62,K61,K60,K59)),"")</f>
        <v/>
      </c>
    </row>
    <row r="60" spans="1:18" x14ac:dyDescent="0.25">
      <c r="A60" s="14"/>
      <c r="B60" s="9" t="b">
        <f t="shared" si="19"/>
        <v>1</v>
      </c>
      <c r="C60" s="9">
        <f t="shared" si="23"/>
        <v>0</v>
      </c>
      <c r="D60" s="9">
        <f t="shared" si="18"/>
        <v>0</v>
      </c>
      <c r="E60" s="9" t="str">
        <f t="shared" si="10"/>
        <v>00</v>
      </c>
      <c r="F60" s="9" t="str">
        <f t="shared" si="11"/>
        <v>1</v>
      </c>
      <c r="G60" s="9" t="str">
        <f>IF(B60=TRUE,CONCATENATE(E60,F60),DEC2BIN(BITWISE_XOR(BIN2DEC(G59),7),3))</f>
        <v>001</v>
      </c>
      <c r="H60" s="23" t="str">
        <f t="shared" si="12"/>
        <v>001</v>
      </c>
      <c r="I60">
        <f t="shared" si="13"/>
        <v>1</v>
      </c>
      <c r="J60" s="14" t="str">
        <f t="shared" si="24"/>
        <v>001</v>
      </c>
      <c r="K60" s="9" t="str">
        <f t="shared" si="15"/>
        <v>00</v>
      </c>
      <c r="L60" s="9" t="str">
        <f t="shared" si="25"/>
        <v>1</v>
      </c>
      <c r="M60" s="9" t="b">
        <f>BITWISE_XOR(BIN2DEC(J59),7)=BIN2DEC(J60)</f>
        <v>0</v>
      </c>
      <c r="N60" s="9" t="b">
        <f t="shared" si="20"/>
        <v>0</v>
      </c>
      <c r="O60" s="15" t="str">
        <f t="shared" si="26"/>
        <v/>
      </c>
    </row>
    <row r="61" spans="1:18" x14ac:dyDescent="0.25">
      <c r="A61" s="14">
        <v>66</v>
      </c>
      <c r="B61" s="9" t="b">
        <f t="shared" si="19"/>
        <v>1</v>
      </c>
      <c r="C61" s="9">
        <f t="shared" si="23"/>
        <v>66</v>
      </c>
      <c r="D61" s="9">
        <f t="shared" si="18"/>
        <v>2</v>
      </c>
      <c r="E61" s="9" t="str">
        <f t="shared" si="10"/>
        <v>10</v>
      </c>
      <c r="F61" s="9" t="str">
        <f t="shared" si="11"/>
        <v>1</v>
      </c>
      <c r="G61" s="9" t="str">
        <f>IF(B61=TRUE,CONCATENATE(E61,F61),DEC2BIN(BITWISE_XOR(BIN2DEC(G60),7),3))</f>
        <v>101</v>
      </c>
      <c r="H61" s="23" t="str">
        <f t="shared" si="12"/>
        <v>101</v>
      </c>
      <c r="I61">
        <f t="shared" si="13"/>
        <v>5</v>
      </c>
      <c r="J61" s="14" t="str">
        <f t="shared" si="24"/>
        <v>101</v>
      </c>
      <c r="K61" s="9" t="str">
        <f t="shared" si="15"/>
        <v>10</v>
      </c>
      <c r="L61" s="9" t="str">
        <f t="shared" si="25"/>
        <v>1</v>
      </c>
      <c r="M61" s="9" t="b">
        <f>BITWISE_XOR(BIN2DEC(J60),7)=BIN2DEC(J61)</f>
        <v>0</v>
      </c>
      <c r="N61" s="9" t="b">
        <f t="shared" si="20"/>
        <v>1</v>
      </c>
      <c r="O61" s="15">
        <f t="shared" si="26"/>
        <v>66</v>
      </c>
      <c r="P61">
        <v>66</v>
      </c>
    </row>
    <row r="62" spans="1:18" x14ac:dyDescent="0.25">
      <c r="A62" s="14"/>
      <c r="B62" s="9" t="b">
        <f t="shared" si="19"/>
        <v>1</v>
      </c>
      <c r="C62" s="9">
        <f t="shared" si="23"/>
        <v>16</v>
      </c>
      <c r="D62" s="9">
        <f t="shared" si="18"/>
        <v>0</v>
      </c>
      <c r="E62" s="9" t="str">
        <f t="shared" si="10"/>
        <v>00</v>
      </c>
      <c r="F62" s="9" t="str">
        <f>IF(VALUE(E62)=VALUE(LEFT(G61,2)),IF(RIGHT(G61,1)="1","0","1"),RIGHT(G61,1))</f>
        <v>1</v>
      </c>
      <c r="G62" s="9" t="str">
        <f>IF(B62=TRUE,CONCATENATE(E62,F62),DEC2BIN(BITWISE_XOR(BIN2DEC(G61),7),3))</f>
        <v>001</v>
      </c>
      <c r="H62" s="23" t="str">
        <f t="shared" si="12"/>
        <v>001</v>
      </c>
      <c r="I62">
        <f t="shared" si="13"/>
        <v>1</v>
      </c>
      <c r="J62" s="14" t="str">
        <f t="shared" si="24"/>
        <v>001</v>
      </c>
      <c r="K62" s="9" t="str">
        <f t="shared" si="15"/>
        <v>00</v>
      </c>
      <c r="L62" s="9" t="str">
        <f t="shared" si="25"/>
        <v>1</v>
      </c>
      <c r="M62" s="9" t="b">
        <f>BITWISE_XOR(BIN2DEC(J61),7)=BIN2DEC(J62)</f>
        <v>0</v>
      </c>
      <c r="N62" s="9" t="b">
        <f t="shared" si="20"/>
        <v>0</v>
      </c>
      <c r="O62" s="15" t="str">
        <f>IF(N62=TRUE,BIN2DEC(CONCATENATE(K65,K64,K63,K62)),"")</f>
        <v/>
      </c>
    </row>
    <row r="63" spans="1:18" x14ac:dyDescent="0.25">
      <c r="A63" s="14"/>
      <c r="B63" s="9" t="b">
        <f t="shared" si="19"/>
        <v>1</v>
      </c>
      <c r="C63" s="9">
        <f t="shared" ref="C63:C65" si="27">IF(A63="",FLOOR(C62/4,1),A63)</f>
        <v>4</v>
      </c>
      <c r="D63" s="9">
        <f t="shared" si="18"/>
        <v>0</v>
      </c>
      <c r="E63" s="9" t="str">
        <f t="shared" si="10"/>
        <v>00</v>
      </c>
      <c r="F63" s="9" t="str">
        <f t="shared" ref="F63:F65" si="28">IF(VALUE(E63)=VALUE(LEFT(G62,2)),IF(RIGHT(G62,1)="1","0","1"),RIGHT(G62,1))</f>
        <v>0</v>
      </c>
      <c r="G63" s="9" t="str">
        <f>IF(B63=TRUE,CONCATENATE(E63,F63),DEC2BIN(BITWISE_XOR(BIN2DEC(G62),7),3))</f>
        <v>000</v>
      </c>
      <c r="H63" s="23" t="str">
        <f t="shared" si="12"/>
        <v>000</v>
      </c>
      <c r="I63">
        <f t="shared" si="13"/>
        <v>0</v>
      </c>
      <c r="J63" s="14" t="str">
        <f t="shared" ref="J63:J65" si="29">G63</f>
        <v>000</v>
      </c>
      <c r="K63" s="9" t="str">
        <f t="shared" si="15"/>
        <v>00</v>
      </c>
      <c r="L63" s="9" t="str">
        <f t="shared" ref="L63:L65" si="30">IF(J63=J62,"",RIGHT(J63,1))</f>
        <v>0</v>
      </c>
      <c r="M63" s="9" t="b">
        <f>BITWISE_XOR(BIN2DEC(J62),7)=BIN2DEC(J63)</f>
        <v>0</v>
      </c>
      <c r="N63" s="9" t="b">
        <f t="shared" si="20"/>
        <v>0</v>
      </c>
      <c r="O63" s="15" t="str">
        <f t="shared" ref="O63:O65" si="31">IF(N63=TRUE,BIN2DEC(CONCATENATE(K66,K65,K64,K63)),"")</f>
        <v/>
      </c>
    </row>
    <row r="64" spans="1:18" x14ac:dyDescent="0.25">
      <c r="A64" s="14"/>
      <c r="B64" s="9" t="b">
        <f t="shared" si="19"/>
        <v>1</v>
      </c>
      <c r="C64" s="9">
        <f t="shared" si="27"/>
        <v>1</v>
      </c>
      <c r="D64" s="9">
        <f t="shared" si="18"/>
        <v>1</v>
      </c>
      <c r="E64" s="9" t="str">
        <f t="shared" si="10"/>
        <v>01</v>
      </c>
      <c r="F64" s="9" t="str">
        <f t="shared" si="28"/>
        <v>0</v>
      </c>
      <c r="G64" s="9" t="str">
        <f>IF(B64=TRUE,CONCATENATE(E64,F64),DEC2BIN(BITWISE_XOR(BIN2DEC(G63),7),3))</f>
        <v>010</v>
      </c>
      <c r="H64" s="23" t="str">
        <f t="shared" si="12"/>
        <v>010</v>
      </c>
      <c r="I64">
        <f t="shared" si="13"/>
        <v>2</v>
      </c>
      <c r="J64" s="14" t="str">
        <f t="shared" si="29"/>
        <v>010</v>
      </c>
      <c r="K64" s="9" t="str">
        <f t="shared" si="15"/>
        <v>01</v>
      </c>
      <c r="L64" s="9" t="str">
        <f t="shared" si="30"/>
        <v>0</v>
      </c>
      <c r="M64" s="9" t="b">
        <f>BITWISE_XOR(BIN2DEC(J63),7)=BIN2DEC(J64)</f>
        <v>0</v>
      </c>
      <c r="N64" s="9" t="b">
        <f t="shared" si="20"/>
        <v>0</v>
      </c>
      <c r="O64" s="15" t="str">
        <f t="shared" si="31"/>
        <v/>
      </c>
    </row>
    <row r="65" spans="1:15" x14ac:dyDescent="0.25">
      <c r="A65" s="16"/>
      <c r="B65" s="17" t="b">
        <f t="shared" si="19"/>
        <v>0</v>
      </c>
      <c r="C65" s="17">
        <f t="shared" si="27"/>
        <v>0</v>
      </c>
      <c r="D65" s="17">
        <f t="shared" si="18"/>
        <v>0</v>
      </c>
      <c r="E65" s="17" t="str">
        <f t="shared" si="10"/>
        <v>00</v>
      </c>
      <c r="F65" s="17" t="str">
        <f t="shared" si="28"/>
        <v>0</v>
      </c>
      <c r="G65" s="17" t="str">
        <f>IF(B65=TRUE,CONCATENATE(E65,F65),DEC2BIN(BITWISE_XOR(BIN2DEC(G64),7),3))</f>
        <v>101</v>
      </c>
      <c r="H65" s="23" t="str">
        <f t="shared" si="12"/>
        <v>101</v>
      </c>
      <c r="I65">
        <f t="shared" si="13"/>
        <v>5</v>
      </c>
      <c r="J65" s="16" t="str">
        <f t="shared" si="29"/>
        <v>101</v>
      </c>
      <c r="K65" s="17" t="str">
        <f t="shared" si="15"/>
        <v>10</v>
      </c>
      <c r="L65" s="17" t="str">
        <f t="shared" si="30"/>
        <v>1</v>
      </c>
      <c r="M65" s="17" t="b">
        <f>BITWISE_XOR(BIN2DEC(J64),7)=BIN2DEC(J65)</f>
        <v>1</v>
      </c>
      <c r="N65" s="17" t="b">
        <f t="shared" si="20"/>
        <v>0</v>
      </c>
      <c r="O65" s="18" t="str">
        <f t="shared" si="31"/>
        <v/>
      </c>
    </row>
    <row r="69" spans="1:15" x14ac:dyDescent="0.25">
      <c r="J69" t="s">
        <v>38</v>
      </c>
    </row>
    <row r="70" spans="1:15" x14ac:dyDescent="0.25">
      <c r="J70" s="11"/>
      <c r="K70" s="12"/>
      <c r="L70" s="12"/>
      <c r="M70" s="12"/>
      <c r="N70" s="12"/>
      <c r="O70" s="13" t="s">
        <v>23</v>
      </c>
    </row>
    <row r="71" spans="1:15" x14ac:dyDescent="0.25">
      <c r="J71" s="14" t="s">
        <v>21</v>
      </c>
      <c r="K71" s="9" t="s">
        <v>14</v>
      </c>
      <c r="L71" s="9" t="s">
        <v>22</v>
      </c>
      <c r="M71" s="21" t="s">
        <v>18</v>
      </c>
      <c r="N71" s="21" t="s">
        <v>14</v>
      </c>
      <c r="O71" s="15"/>
    </row>
    <row r="72" spans="1:15" x14ac:dyDescent="0.25">
      <c r="J72" s="14"/>
      <c r="K72" s="9"/>
      <c r="L72" s="9"/>
      <c r="M72" s="21"/>
      <c r="N72" s="21" t="b">
        <v>0</v>
      </c>
      <c r="O72" s="15"/>
    </row>
    <row r="73" spans="1:15" x14ac:dyDescent="0.25">
      <c r="J73" s="14"/>
      <c r="K73" s="9"/>
      <c r="L73" s="9"/>
      <c r="M73" s="21"/>
      <c r="N73" s="21" t="b">
        <v>0</v>
      </c>
      <c r="O73" s="15"/>
    </row>
    <row r="74" spans="1:15" x14ac:dyDescent="0.25">
      <c r="H74" s="23" t="s">
        <v>30</v>
      </c>
      <c r="J74" s="14" t="str">
        <f>H74</f>
        <v>000</v>
      </c>
      <c r="K74" s="9" t="str">
        <f>IF(OR(J74=J73,BITWISE_XOR(J73,J74)=VALUE("111")),"",LEFT(J74,2))</f>
        <v>00</v>
      </c>
      <c r="L74" s="9" t="str">
        <f>IF(OR(J74=J73,BITWISE_XOR(J73,J74)=VALUE("111")),"",RIGHT(J74,1))</f>
        <v>0</v>
      </c>
      <c r="M74" s="9"/>
      <c r="N74" s="9" t="b">
        <v>0</v>
      </c>
      <c r="O74" s="15"/>
    </row>
    <row r="75" spans="1:15" x14ac:dyDescent="0.25">
      <c r="H75" s="23" t="s">
        <v>31</v>
      </c>
      <c r="J75" s="14" t="str">
        <f t="shared" ref="J75" si="32">H75</f>
        <v>111</v>
      </c>
      <c r="K75" s="9" t="str">
        <f>IF(OR(J75=J74,BITWISE_XOR(J74,J75)=VALUE("111")),"",LEFT(J75,2))</f>
        <v/>
      </c>
      <c r="L75" s="9" t="str">
        <f>IF(OR(J75=J74,BITWISE_XOR(J74,J75)=VALUE("111")),"",RIGHT(J75,1))</f>
        <v/>
      </c>
      <c r="M75" s="9" t="b">
        <f>BITWISE_XOR(BIN2DEC(J74),7)=BIN2DEC(J75)</f>
        <v>1</v>
      </c>
      <c r="N75" s="9" t="b">
        <f>AND(COUNTIF(M75:M78,FALSE)=4,COUNTIF(N72:N74,FALSE)=3)</f>
        <v>0</v>
      </c>
      <c r="O75" s="15" t="str">
        <f>IF(N75=TRUE,BIN2DEC(CONCATENATE(K78,K77,K76,K75)),"")</f>
        <v/>
      </c>
    </row>
    <row r="76" spans="1:15" x14ac:dyDescent="0.25">
      <c r="H76" s="23" t="s">
        <v>31</v>
      </c>
      <c r="J76" s="14" t="str">
        <f t="shared" ref="J76:J101" si="33">H76</f>
        <v>111</v>
      </c>
      <c r="K76" s="9" t="str">
        <f>IF(OR(J76=J75,BITWISE_XOR(J75,J76)=VALUE("111")),"",LEFT(J76,2))</f>
        <v/>
      </c>
      <c r="L76" s="9" t="str">
        <f>IF(OR(J76=J75,BITWISE_XOR(J75,J76)=VALUE("111")),"",RIGHT(J76,1))</f>
        <v/>
      </c>
      <c r="M76" s="9" t="b">
        <f>BITWISE_XOR(BIN2DEC(J75),7)=BIN2DEC(J76)</f>
        <v>0</v>
      </c>
      <c r="N76" s="9" t="b">
        <f t="shared" ref="N76:N101" si="34">AND(COUNTIF(M76:M79,FALSE)=4,COUNTIF(N73:N75,FALSE)=3)</f>
        <v>1</v>
      </c>
      <c r="O76" s="15">
        <f>IF(N76=TRUE,BIN2DEC(CONCATENATE(K82,K81,K78,K77)),"")</f>
        <v>61</v>
      </c>
    </row>
    <row r="77" spans="1:15" x14ac:dyDescent="0.25">
      <c r="H77" s="23" t="s">
        <v>32</v>
      </c>
      <c r="J77" s="14" t="str">
        <f t="shared" si="33"/>
        <v>011</v>
      </c>
      <c r="K77" s="9" t="str">
        <f>IF(OR(J77=J76,BITWISE_XOR(J76,J77)=VALUE("111")),"",LEFT(J77,2))</f>
        <v>01</v>
      </c>
      <c r="L77" s="9" t="str">
        <f>IF(OR(J77=J76,BITWISE_XOR(J76,J77)=VALUE("111")),"",RIGHT(J77,1))</f>
        <v>1</v>
      </c>
      <c r="M77" s="9" t="b">
        <f>BITWISE_XOR(BIN2DEC(J76),7)=BIN2DEC(J77)</f>
        <v>0</v>
      </c>
      <c r="N77" s="9" t="b">
        <f t="shared" si="34"/>
        <v>0</v>
      </c>
      <c r="O77" s="15" t="str">
        <f t="shared" ref="O77:O82" si="35">IF(N77=TRUE,BIN2DEC(CONCATENATE(K80,K79,K78,K77)),"")</f>
        <v/>
      </c>
    </row>
    <row r="78" spans="1:15" x14ac:dyDescent="0.25">
      <c r="H78" s="23" t="s">
        <v>31</v>
      </c>
      <c r="J78" s="14" t="str">
        <f t="shared" si="33"/>
        <v>111</v>
      </c>
      <c r="K78" s="9" t="str">
        <f>IF(OR(J78=J77,BITWISE_XOR(J77,J78)=VALUE("111")),"",LEFT(J78,2))</f>
        <v>11</v>
      </c>
      <c r="L78" s="9" t="str">
        <f>IF(OR(J78=J77,BITWISE_XOR(J77,J78)=VALUE("111")),"",RIGHT(J78,1))</f>
        <v>1</v>
      </c>
      <c r="M78" s="9" t="b">
        <f>BITWISE_XOR(BIN2DEC(J77),7)=BIN2DEC(J78)</f>
        <v>0</v>
      </c>
      <c r="N78" s="9" t="b">
        <f t="shared" si="34"/>
        <v>0</v>
      </c>
      <c r="O78" s="15" t="str">
        <f t="shared" si="35"/>
        <v/>
      </c>
    </row>
    <row r="79" spans="1:15" x14ac:dyDescent="0.25">
      <c r="H79" s="23" t="s">
        <v>31</v>
      </c>
      <c r="J79" s="14" t="str">
        <f t="shared" si="33"/>
        <v>111</v>
      </c>
      <c r="K79" s="9" t="str">
        <f>IF(OR(J79=J78,BITWISE_XOR(J78,J79)=VALUE("111")),"",LEFT(J79,2))</f>
        <v/>
      </c>
      <c r="L79" s="9" t="str">
        <f>IF(OR(J79=J78,BITWISE_XOR(J78,J79)=VALUE("111")),"",RIGHT(J79,1))</f>
        <v/>
      </c>
      <c r="M79" s="9" t="b">
        <f>BITWISE_XOR(BIN2DEC(J78),7)=BIN2DEC(J79)</f>
        <v>0</v>
      </c>
      <c r="N79" s="9" t="b">
        <f t="shared" si="34"/>
        <v>0</v>
      </c>
      <c r="O79" s="15" t="str">
        <f t="shared" si="35"/>
        <v/>
      </c>
    </row>
    <row r="80" spans="1:15" x14ac:dyDescent="0.25">
      <c r="H80" s="23" t="s">
        <v>31</v>
      </c>
      <c r="J80" s="14" t="str">
        <f t="shared" si="33"/>
        <v>111</v>
      </c>
      <c r="K80" s="9" t="str">
        <f>IF(OR(J80=J79,BITWISE_XOR(J79,J80)=VALUE("111")),"",LEFT(J80,2))</f>
        <v/>
      </c>
      <c r="L80" s="9" t="str">
        <f>IF(OR(J80=J79,BITWISE_XOR(J79,J80)=VALUE("111")),"",RIGHT(J80,1))</f>
        <v/>
      </c>
      <c r="M80" s="9" t="b">
        <f>BITWISE_XOR(BIN2DEC(J79),7)=BIN2DEC(J80)</f>
        <v>0</v>
      </c>
      <c r="N80" s="9" t="b">
        <f t="shared" si="34"/>
        <v>0</v>
      </c>
      <c r="O80" s="15" t="str">
        <f t="shared" si="35"/>
        <v/>
      </c>
    </row>
    <row r="81" spans="8:15" x14ac:dyDescent="0.25">
      <c r="H81" s="23" t="s">
        <v>33</v>
      </c>
      <c r="J81" s="14" t="str">
        <f t="shared" si="33"/>
        <v>110</v>
      </c>
      <c r="K81" s="9" t="str">
        <f>IF(OR(J81=J80,BITWISE_XOR(J80,J81)=VALUE("111")),"",LEFT(J81,2))</f>
        <v>11</v>
      </c>
      <c r="L81" s="9" t="str">
        <f>IF(OR(J81=J80,BITWISE_XOR(J80,J81)=VALUE("111")),"",RIGHT(J81,1))</f>
        <v>0</v>
      </c>
      <c r="M81" s="9" t="b">
        <f>BITWISE_XOR(BIN2DEC(J80),7)=BIN2DEC(J81)</f>
        <v>0</v>
      </c>
      <c r="N81" s="9" t="b">
        <f t="shared" si="34"/>
        <v>0</v>
      </c>
      <c r="O81" s="15" t="str">
        <f t="shared" si="35"/>
        <v/>
      </c>
    </row>
    <row r="82" spans="8:15" x14ac:dyDescent="0.25">
      <c r="H82" s="23" t="s">
        <v>30</v>
      </c>
      <c r="J82" s="14" t="str">
        <f t="shared" si="33"/>
        <v>000</v>
      </c>
      <c r="K82" s="9" t="str">
        <f>IF(OR(J82=J81,BITWISE_XOR(J81,J82)=VALUE("111")),"",LEFT(J82,2))</f>
        <v>00</v>
      </c>
      <c r="L82" s="9" t="str">
        <f>IF(OR(J82=J81,BITWISE_XOR(J81,J82)=VALUE("111")),"",RIGHT(J82,1))</f>
        <v>0</v>
      </c>
      <c r="M82" s="9" t="b">
        <f>BITWISE_XOR(BIN2DEC(J81),7)=BIN2DEC(J82)</f>
        <v>0</v>
      </c>
      <c r="N82" s="9" t="b">
        <f t="shared" si="34"/>
        <v>0</v>
      </c>
      <c r="O82" s="15" t="str">
        <f t="shared" si="35"/>
        <v/>
      </c>
    </row>
    <row r="83" spans="8:15" x14ac:dyDescent="0.25">
      <c r="H83" s="23" t="s">
        <v>31</v>
      </c>
      <c r="J83" s="14" t="str">
        <f t="shared" si="33"/>
        <v>111</v>
      </c>
      <c r="K83" s="9" t="str">
        <f>IF(OR(J83=J82,BITWISE_XOR(J82,J83)=VALUE("111")),"",LEFT(J83,2))</f>
        <v/>
      </c>
      <c r="L83" s="9" t="str">
        <f>IF(OR(J83=J82,BITWISE_XOR(J82,J83)=VALUE("111")),"",RIGHT(J83,1))</f>
        <v/>
      </c>
      <c r="M83" s="9" t="b">
        <f>BITWISE_XOR(BIN2DEC(J82),7)=BIN2DEC(J83)</f>
        <v>1</v>
      </c>
      <c r="N83" s="9" t="b">
        <f t="shared" si="34"/>
        <v>0</v>
      </c>
      <c r="O83" s="15" t="str">
        <f>IF(N83=TRUE,BIN2DEC(CONCATENATE(K87,K85,K84,K83)),"")</f>
        <v/>
      </c>
    </row>
    <row r="84" spans="8:15" x14ac:dyDescent="0.25">
      <c r="H84" s="23" t="s">
        <v>30</v>
      </c>
      <c r="J84" s="14" t="str">
        <f t="shared" si="33"/>
        <v>000</v>
      </c>
      <c r="K84" s="9" t="str">
        <f>IF(OR(J84=J83,BITWISE_XOR(J83,J84)=VALUE("111")),"",LEFT(J84,2))</f>
        <v/>
      </c>
      <c r="L84" s="9" t="str">
        <f>IF(OR(J84=J83,BITWISE_XOR(J83,J84)=VALUE("111")),"",RIGHT(J84,1))</f>
        <v/>
      </c>
      <c r="M84" s="9" t="b">
        <f>BITWISE_XOR(BIN2DEC(J83),7)=BIN2DEC(J84)</f>
        <v>1</v>
      </c>
      <c r="N84" s="9" t="b">
        <f>AND(COUNTIF(M84:M87,FALSE)=4,COUNTIF(N81:N83,FALSE)=3)</f>
        <v>0</v>
      </c>
      <c r="O84" s="15" t="str">
        <f>IF(N84=TRUE,BIN2DEC(CONCATENATE(K89,K87,K85,K84)),"")</f>
        <v/>
      </c>
    </row>
    <row r="85" spans="8:15" x14ac:dyDescent="0.25">
      <c r="H85" s="23" t="s">
        <v>34</v>
      </c>
      <c r="J85" s="14" t="str">
        <f t="shared" si="33"/>
        <v>010</v>
      </c>
      <c r="K85" s="9" t="str">
        <f>IF(OR(J85=J84,BITWISE_XOR(J84,J85)=VALUE("111")),"",LEFT(J85,2))</f>
        <v>01</v>
      </c>
      <c r="L85" s="9" t="str">
        <f>IF(OR(J85=J84,BITWISE_XOR(J84,J85)=VALUE("111")),"",RIGHT(J85,1))</f>
        <v>0</v>
      </c>
      <c r="M85" s="9" t="b">
        <f>BITWISE_XOR(BIN2DEC(J84),7)=BIN2DEC(J85)</f>
        <v>0</v>
      </c>
      <c r="N85" s="9" t="b">
        <f t="shared" si="34"/>
        <v>1</v>
      </c>
      <c r="O85" s="15">
        <f>IF(N85=TRUE,BIN2DEC(CONCATENATE(K90,K88,K86,K85)),"")</f>
        <v>21</v>
      </c>
    </row>
    <row r="86" spans="8:15" x14ac:dyDescent="0.25">
      <c r="H86" s="23" t="s">
        <v>32</v>
      </c>
      <c r="J86" s="14" t="str">
        <f t="shared" si="33"/>
        <v>011</v>
      </c>
      <c r="K86" s="9" t="str">
        <f>IF(OR(J86=J85,BITWISE_XOR(J85,J86)=VALUE("111")),"",LEFT(J86,2))</f>
        <v>01</v>
      </c>
      <c r="L86" s="9" t="str">
        <f>IF(OR(J86=J85,BITWISE_XOR(J85,J86)=VALUE("111")),"",RIGHT(J86,1))</f>
        <v>1</v>
      </c>
      <c r="M86" s="9" t="b">
        <f>BITWISE_XOR(BIN2DEC(J85),7)=BIN2DEC(J86)</f>
        <v>0</v>
      </c>
      <c r="N86" s="9" t="b">
        <f t="shared" si="34"/>
        <v>0</v>
      </c>
      <c r="O86" s="15" t="str">
        <f t="shared" ref="O86:O101" si="36">IF(N86=TRUE,BIN2DEC(CONCATENATE(K91,K89,K87,K86)),"")</f>
        <v/>
      </c>
    </row>
    <row r="87" spans="8:15" x14ac:dyDescent="0.25">
      <c r="H87" s="23" t="s">
        <v>32</v>
      </c>
      <c r="J87" s="14" t="str">
        <f t="shared" si="33"/>
        <v>011</v>
      </c>
      <c r="K87" s="9" t="str">
        <f>IF(OR(J87=J86,BITWISE_XOR(J86,J87)=VALUE("111")),"",LEFT(J87,2))</f>
        <v/>
      </c>
      <c r="L87" s="9" t="str">
        <f>IF(OR(J87=J86,BITWISE_XOR(J86,J87)=VALUE("111")),"",RIGHT(J87,1))</f>
        <v/>
      </c>
      <c r="M87" s="9" t="b">
        <f>BITWISE_XOR(BIN2DEC(J86),7)=BIN2DEC(J87)</f>
        <v>0</v>
      </c>
      <c r="N87" s="9" t="b">
        <f t="shared" si="34"/>
        <v>0</v>
      </c>
      <c r="O87" s="15" t="str">
        <f t="shared" si="36"/>
        <v/>
      </c>
    </row>
    <row r="88" spans="8:15" x14ac:dyDescent="0.25">
      <c r="H88" s="23" t="s">
        <v>34</v>
      </c>
      <c r="J88" s="14" t="str">
        <f t="shared" si="33"/>
        <v>010</v>
      </c>
      <c r="K88" s="9" t="str">
        <f>IF(OR(J88=J87,BITWISE_XOR(J87,J88)=VALUE("111")),"",LEFT(J88,2))</f>
        <v>01</v>
      </c>
      <c r="L88" s="9" t="str">
        <f>IF(OR(J88=J87,BITWISE_XOR(J87,J88)=VALUE("111")),"",RIGHT(J88,1))</f>
        <v>0</v>
      </c>
      <c r="M88" s="9" t="b">
        <f>BITWISE_XOR(BIN2DEC(J87),7)=BIN2DEC(J88)</f>
        <v>0</v>
      </c>
      <c r="N88" s="9" t="b">
        <f t="shared" si="34"/>
        <v>0</v>
      </c>
      <c r="O88" s="15" t="str">
        <f t="shared" si="36"/>
        <v/>
      </c>
    </row>
    <row r="89" spans="8:15" x14ac:dyDescent="0.25">
      <c r="H89" s="23" t="s">
        <v>34</v>
      </c>
      <c r="J89" s="14" t="str">
        <f t="shared" si="33"/>
        <v>010</v>
      </c>
      <c r="K89" s="9" t="str">
        <f>IF(OR(J89=J88,BITWISE_XOR(J88,J89)=VALUE("111")),"",LEFT(J89,2))</f>
        <v/>
      </c>
      <c r="L89" s="9" t="str">
        <f>IF(OR(J89=J88,BITWISE_XOR(J88,J89)=VALUE("111")),"",RIGHT(J89,1))</f>
        <v/>
      </c>
      <c r="M89" s="9" t="b">
        <f>BITWISE_XOR(BIN2DEC(J88),7)=BIN2DEC(J89)</f>
        <v>0</v>
      </c>
      <c r="N89" s="9" t="b">
        <f t="shared" si="34"/>
        <v>1</v>
      </c>
      <c r="O89" s="15">
        <f>IF(N89=TRUE,BIN2DEC(CONCATENATE(K94,K93,K92,K91)),"")</f>
        <v>250</v>
      </c>
    </row>
    <row r="90" spans="8:15" x14ac:dyDescent="0.25">
      <c r="H90" s="23" t="s">
        <v>30</v>
      </c>
      <c r="J90" s="14" t="str">
        <f t="shared" si="33"/>
        <v>000</v>
      </c>
      <c r="K90" s="9" t="str">
        <f>IF(OR(J90=J89,BITWISE_XOR(J89,J90)=VALUE("111")),"",LEFT(J90,2))</f>
        <v>00</v>
      </c>
      <c r="L90" s="9" t="str">
        <f>IF(OR(J90=J89,BITWISE_XOR(J89,J90)=VALUE("111")),"",RIGHT(J90,1))</f>
        <v>0</v>
      </c>
      <c r="M90" s="9" t="b">
        <f>BITWISE_XOR(BIN2DEC(J89),7)=BIN2DEC(J90)</f>
        <v>0</v>
      </c>
      <c r="N90" s="9" t="b">
        <f t="shared" si="34"/>
        <v>0</v>
      </c>
      <c r="O90" s="15" t="str">
        <f t="shared" si="36"/>
        <v/>
      </c>
    </row>
    <row r="91" spans="8:15" x14ac:dyDescent="0.25">
      <c r="H91" s="23" t="s">
        <v>35</v>
      </c>
      <c r="J91" s="14" t="str">
        <f t="shared" si="33"/>
        <v>100</v>
      </c>
      <c r="K91" s="9" t="str">
        <f>IF(OR(J91=J90,BITWISE_XOR(J90,J91)=VALUE("111")),"",LEFT(J91,2))</f>
        <v>10</v>
      </c>
      <c r="L91" s="9" t="str">
        <f>IF(OR(J91=J90,BITWISE_XOR(J90,J91)=VALUE("111")),"",RIGHT(J91,1))</f>
        <v>0</v>
      </c>
      <c r="M91" s="9" t="b">
        <f>BITWISE_XOR(BIN2DEC(J90),7)=BIN2DEC(J91)</f>
        <v>0</v>
      </c>
      <c r="N91" s="9" t="b">
        <f t="shared" si="34"/>
        <v>0</v>
      </c>
      <c r="O91" s="15" t="str">
        <f t="shared" si="36"/>
        <v/>
      </c>
    </row>
    <row r="92" spans="8:15" x14ac:dyDescent="0.25">
      <c r="H92" s="23" t="s">
        <v>36</v>
      </c>
      <c r="J92" s="14" t="str">
        <f t="shared" si="33"/>
        <v>101</v>
      </c>
      <c r="K92" s="9" t="str">
        <f>IF(OR(J92=J91,BITWISE_XOR(J91,J92)=VALUE("111")),"",LEFT(J92,2))</f>
        <v>10</v>
      </c>
      <c r="L92" s="9" t="str">
        <f>IF(OR(J92=J91,BITWISE_XOR(J91,J92)=VALUE("111")),"",RIGHT(J92,1))</f>
        <v>1</v>
      </c>
      <c r="M92" s="9" t="b">
        <f>BITWISE_XOR(BIN2DEC(J91),7)=BIN2DEC(J92)</f>
        <v>0</v>
      </c>
      <c r="N92" s="9" t="b">
        <f t="shared" si="34"/>
        <v>0</v>
      </c>
      <c r="O92" s="15" t="str">
        <f t="shared" si="36"/>
        <v/>
      </c>
    </row>
    <row r="93" spans="8:15" x14ac:dyDescent="0.25">
      <c r="H93" s="23" t="s">
        <v>31</v>
      </c>
      <c r="J93" s="14" t="str">
        <f t="shared" si="33"/>
        <v>111</v>
      </c>
      <c r="K93" s="9" t="str">
        <f>IF(OR(J93=J92,BITWISE_XOR(J92,J93)=VALUE("111")),"",LEFT(J93,2))</f>
        <v>11</v>
      </c>
      <c r="L93" s="9" t="str">
        <f>IF(OR(J93=J92,BITWISE_XOR(J92,J93)=VALUE("111")),"",RIGHT(J93,1))</f>
        <v>1</v>
      </c>
      <c r="M93" s="9" t="b">
        <f>BITWISE_XOR(BIN2DEC(J92),7)=BIN2DEC(J93)</f>
        <v>0</v>
      </c>
      <c r="N93" s="9" t="b">
        <f t="shared" si="34"/>
        <v>0</v>
      </c>
      <c r="O93" s="15" t="str">
        <f t="shared" si="36"/>
        <v/>
      </c>
    </row>
    <row r="94" spans="8:15" x14ac:dyDescent="0.25">
      <c r="H94" s="23" t="s">
        <v>33</v>
      </c>
      <c r="J94" s="14" t="str">
        <f t="shared" si="33"/>
        <v>110</v>
      </c>
      <c r="K94" s="9" t="str">
        <f>IF(OR(J94=J93,BITWISE_XOR(J93,J94)=VALUE("111")),"",LEFT(J94,2))</f>
        <v>11</v>
      </c>
      <c r="L94" s="9" t="str">
        <f>IF(OR(J94=J93,BITWISE_XOR(J93,J94)=VALUE("111")),"",RIGHT(J94,1))</f>
        <v>0</v>
      </c>
      <c r="M94" s="9" t="b">
        <f>BITWISE_XOR(BIN2DEC(J93),7)=BIN2DEC(J94)</f>
        <v>0</v>
      </c>
      <c r="N94" s="9" t="b">
        <f t="shared" si="34"/>
        <v>0</v>
      </c>
      <c r="O94" s="15" t="str">
        <f t="shared" si="36"/>
        <v/>
      </c>
    </row>
    <row r="95" spans="8:15" x14ac:dyDescent="0.25">
      <c r="H95" s="23" t="s">
        <v>37</v>
      </c>
      <c r="J95" s="14" t="str">
        <f t="shared" si="33"/>
        <v>001</v>
      </c>
      <c r="K95" s="9" t="str">
        <f>IF(OR(J95=J94,BITWISE_XOR(J94,J95)=VALUE("111")),"",LEFT(J95,2))</f>
        <v/>
      </c>
      <c r="L95" s="9" t="str">
        <f>IF(OR(J95=J94,BITWISE_XOR(J94,J95)=VALUE("111")),"",RIGHT(J95,1))</f>
        <v/>
      </c>
      <c r="M95" s="9" t="b">
        <f>BITWISE_XOR(BIN2DEC(J94),7)=BIN2DEC(J95)</f>
        <v>1</v>
      </c>
      <c r="N95" s="9" t="b">
        <f t="shared" si="34"/>
        <v>0</v>
      </c>
      <c r="O95" s="15" t="str">
        <f t="shared" si="36"/>
        <v/>
      </c>
    </row>
    <row r="96" spans="8:15" x14ac:dyDescent="0.25">
      <c r="H96" s="23" t="s">
        <v>33</v>
      </c>
      <c r="J96" s="14" t="str">
        <f t="shared" si="33"/>
        <v>110</v>
      </c>
      <c r="K96" s="9" t="str">
        <f>IF(OR(J96=J95,BITWISE_XOR(J95,J96)=VALUE("111")),"",LEFT(J96,2))</f>
        <v/>
      </c>
      <c r="L96" s="9" t="str">
        <f>IF(OR(J96=J95,BITWISE_XOR(J95,J96)=VALUE("111")),"",RIGHT(J96,1))</f>
        <v/>
      </c>
      <c r="M96" s="9" t="b">
        <f>BITWISE_XOR(BIN2DEC(J95),7)=BIN2DEC(J96)</f>
        <v>1</v>
      </c>
      <c r="N96" s="9" t="b">
        <f t="shared" si="34"/>
        <v>0</v>
      </c>
      <c r="O96" s="15" t="str">
        <f t="shared" si="36"/>
        <v/>
      </c>
    </row>
    <row r="97" spans="7:17" x14ac:dyDescent="0.25">
      <c r="H97" s="23" t="s">
        <v>35</v>
      </c>
      <c r="J97" s="14" t="str">
        <f t="shared" si="33"/>
        <v>100</v>
      </c>
      <c r="K97" s="9" t="str">
        <f>IF(OR(J97=J96,BITWISE_XOR(J96,J97)=VALUE("111")),"",LEFT(J97,2))</f>
        <v>10</v>
      </c>
      <c r="L97" s="9" t="str">
        <f>IF(OR(J97=J96,BITWISE_XOR(J96,J97)=VALUE("111")),"",RIGHT(J97,1))</f>
        <v>0</v>
      </c>
      <c r="M97" s="9" t="b">
        <f>BITWISE_XOR(BIN2DEC(J96),7)=BIN2DEC(J97)</f>
        <v>0</v>
      </c>
      <c r="N97" s="9" t="b">
        <f t="shared" si="34"/>
        <v>1</v>
      </c>
      <c r="O97" s="15">
        <f>IF(N97=TRUE,BIN2DEC(CONCATENATE(K100,K99,K98,K97)),"")</f>
        <v>66</v>
      </c>
    </row>
    <row r="98" spans="7:17" x14ac:dyDescent="0.25">
      <c r="H98" s="23" t="s">
        <v>30</v>
      </c>
      <c r="J98" s="14" t="str">
        <f t="shared" si="33"/>
        <v>000</v>
      </c>
      <c r="K98" s="9" t="str">
        <f>IF(OR(J98=J97,BITWISE_XOR(J97,J98)=VALUE("111")),"",LEFT(J98,2))</f>
        <v>00</v>
      </c>
      <c r="L98" s="9" t="str">
        <f>IF(OR(J98=J97,BITWISE_XOR(J97,J98)=VALUE("111")),"",RIGHT(J98,1))</f>
        <v>0</v>
      </c>
      <c r="M98" s="9" t="b">
        <f>BITWISE_XOR(BIN2DEC(J97),7)=BIN2DEC(J98)</f>
        <v>0</v>
      </c>
      <c r="N98" s="9" t="b">
        <f t="shared" si="34"/>
        <v>0</v>
      </c>
      <c r="O98" s="15" t="str">
        <f t="shared" si="36"/>
        <v/>
      </c>
    </row>
    <row r="99" spans="7:17" x14ac:dyDescent="0.25">
      <c r="H99" s="23" t="s">
        <v>37</v>
      </c>
      <c r="J99" s="14" t="str">
        <f t="shared" si="33"/>
        <v>001</v>
      </c>
      <c r="K99" s="9" t="str">
        <f>IF(OR(J99=J98,BITWISE_XOR(J98,J99)=VALUE("111")),"",LEFT(J99,2))</f>
        <v>00</v>
      </c>
      <c r="L99" s="9" t="str">
        <f>IF(OR(J99=J98,BITWISE_XOR(J98,J99)=VALUE("111")),"",RIGHT(J99,1))</f>
        <v>1</v>
      </c>
      <c r="M99" s="9" t="b">
        <f>BITWISE_XOR(BIN2DEC(J98),7)=BIN2DEC(J99)</f>
        <v>0</v>
      </c>
      <c r="N99" s="9" t="b">
        <f t="shared" si="34"/>
        <v>0</v>
      </c>
      <c r="O99" s="15" t="str">
        <f t="shared" si="36"/>
        <v/>
      </c>
    </row>
    <row r="100" spans="7:17" x14ac:dyDescent="0.25">
      <c r="H100" s="23" t="s">
        <v>32</v>
      </c>
      <c r="J100" s="14" t="str">
        <f t="shared" si="33"/>
        <v>011</v>
      </c>
      <c r="K100" s="9" t="str">
        <f>IF(OR(J100=J99,BITWISE_XOR(J99,J100)=VALUE("111")),"",LEFT(J100,2))</f>
        <v>01</v>
      </c>
      <c r="L100" s="9" t="str">
        <f>IF(OR(J100=J99,BITWISE_XOR(J99,J100)=VALUE("111")),"",RIGHT(J100,1))</f>
        <v>1</v>
      </c>
      <c r="M100" s="9" t="b">
        <f>BITWISE_XOR(BIN2DEC(J99),7)=BIN2DEC(J100)</f>
        <v>0</v>
      </c>
      <c r="N100" s="9" t="b">
        <f t="shared" si="34"/>
        <v>0</v>
      </c>
      <c r="O100" s="15" t="str">
        <f t="shared" si="36"/>
        <v/>
      </c>
    </row>
    <row r="101" spans="7:17" x14ac:dyDescent="0.25">
      <c r="H101" s="23" t="s">
        <v>35</v>
      </c>
      <c r="J101" s="16" t="str">
        <f t="shared" si="33"/>
        <v>100</v>
      </c>
      <c r="K101" s="17" t="str">
        <f>IF(OR(J101=J100,BITWISE_XOR(J100,J101)=VALUE("111")),"",LEFT(J101,2))</f>
        <v/>
      </c>
      <c r="L101" s="17" t="str">
        <f>IF(OR(J101=J100,BITWISE_XOR(J100,J101)=VALUE("111")),"",RIGHT(J101,1))</f>
        <v/>
      </c>
      <c r="M101" s="17" t="b">
        <f>BITWISE_XOR(BIN2DEC(J100),7)=BIN2DEC(J101)</f>
        <v>1</v>
      </c>
      <c r="N101" s="17" t="b">
        <f t="shared" si="34"/>
        <v>0</v>
      </c>
      <c r="O101" s="18" t="str">
        <f t="shared" si="36"/>
        <v/>
      </c>
    </row>
    <row r="106" spans="7:17" x14ac:dyDescent="0.25">
      <c r="J106" t="s">
        <v>38</v>
      </c>
    </row>
    <row r="107" spans="7:17" x14ac:dyDescent="0.25">
      <c r="J107" s="11"/>
      <c r="K107" s="12"/>
      <c r="L107" s="12"/>
      <c r="M107" s="12"/>
      <c r="N107" s="12"/>
      <c r="O107" s="19" t="s">
        <v>23</v>
      </c>
      <c r="P107" s="20"/>
    </row>
    <row r="108" spans="7:17" x14ac:dyDescent="0.25">
      <c r="J108" s="14" t="s">
        <v>21</v>
      </c>
      <c r="K108" s="9" t="s">
        <v>14</v>
      </c>
      <c r="L108" s="9" t="s">
        <v>22</v>
      </c>
      <c r="M108" s="21" t="s">
        <v>18</v>
      </c>
      <c r="N108" s="21" t="s">
        <v>39</v>
      </c>
      <c r="O108" s="9"/>
      <c r="P108" s="15"/>
    </row>
    <row r="109" spans="7:17" x14ac:dyDescent="0.25">
      <c r="J109" s="14"/>
      <c r="K109" s="9"/>
      <c r="L109" s="9"/>
      <c r="M109" s="21"/>
      <c r="N109" s="21"/>
      <c r="O109" s="9"/>
      <c r="P109" s="15"/>
    </row>
    <row r="110" spans="7:17" x14ac:dyDescent="0.25">
      <c r="G110">
        <v>0</v>
      </c>
      <c r="H110" t="str">
        <f>DEC2BIN(G110,3)</f>
        <v>000</v>
      </c>
      <c r="J110" s="14" t="str">
        <f>H110</f>
        <v>000</v>
      </c>
      <c r="K110" s="9"/>
      <c r="L110" s="9"/>
      <c r="M110" s="21"/>
      <c r="N110" s="21">
        <v>0</v>
      </c>
      <c r="O110" s="9"/>
      <c r="P110" s="15" t="str">
        <f t="shared" ref="P110:P120" si="37">IF(AND(N110=0,N109=3),BIN2DEC(O110),"")</f>
        <v/>
      </c>
    </row>
    <row r="111" spans="7:17" x14ac:dyDescent="0.25">
      <c r="G111">
        <v>0</v>
      </c>
      <c r="H111" t="str">
        <f>DEC2BIN(G111,3)</f>
        <v>000</v>
      </c>
      <c r="J111" s="14" t="str">
        <f>H111</f>
        <v>000</v>
      </c>
      <c r="K111" s="9" t="str">
        <f>IF(OR(J111=J110,BITWISE_XOR(J110,J111)=VALUE("111")),"",LEFT(J111,2))</f>
        <v/>
      </c>
      <c r="L111" s="9" t="str">
        <f>IF(OR(J111=J110,BITWISE_XOR(J110,J111)=VALUE("111")),"",RIGHT(J111,1))</f>
        <v/>
      </c>
      <c r="M111" s="9"/>
      <c r="N111" s="9">
        <f>IF(M111=TRUE,0,(IF((K111=""),N110,MOD((N110+1),4))))</f>
        <v>0</v>
      </c>
      <c r="O111" s="9" t="str">
        <f t="shared" ref="O111" si="38">IF(N111=0,"",IF(N111=N110,O110,CONCATENATE(K111,O110)))</f>
        <v/>
      </c>
      <c r="P111" s="15" t="str">
        <f t="shared" si="37"/>
        <v/>
      </c>
      <c r="Q111" t="str">
        <f>CONCATENATE(K110:K157)</f>
        <v/>
      </c>
    </row>
    <row r="112" spans="7:17" x14ac:dyDescent="0.25">
      <c r="G112">
        <v>0</v>
      </c>
      <c r="H112" t="str">
        <f t="shared" ref="H112:H157" si="39">DEC2BIN(G112,3)</f>
        <v>000</v>
      </c>
      <c r="J112" s="14" t="str">
        <f t="shared" ref="J112:J114" si="40">H112</f>
        <v>000</v>
      </c>
      <c r="K112" s="9" t="str">
        <f>IF(OR(J112=J111,BITWISE_XOR(J111,J112)=VALUE("111")),"",LEFT(J112,2))</f>
        <v/>
      </c>
      <c r="L112" s="9" t="str">
        <f>IF(OR(J112=J111,BITWISE_XOR(J111,J112)=VALUE("111")),"",RIGHT(J112,1))</f>
        <v/>
      </c>
      <c r="M112" s="9" t="b">
        <f>BITWISE_XOR(BIN2DEC(J111),7)=BIN2DEC(J112)</f>
        <v>0</v>
      </c>
      <c r="N112" s="9">
        <f t="shared" ref="N112:N157" si="41">IF(M112=TRUE,0,(IF((K112=""),N111,MOD((N111+1),4))))</f>
        <v>0</v>
      </c>
      <c r="O112" s="9" t="str">
        <f t="shared" ref="O112:O156" si="42">IF(N112=N111,IF(N112=0,K112,O111),CONCATENATE(K112,O111))</f>
        <v/>
      </c>
      <c r="P112" s="15" t="str">
        <f t="shared" si="37"/>
        <v/>
      </c>
    </row>
    <row r="113" spans="7:16" x14ac:dyDescent="0.25">
      <c r="G113">
        <v>0</v>
      </c>
      <c r="H113" t="str">
        <f t="shared" si="39"/>
        <v>000</v>
      </c>
      <c r="J113" s="14" t="str">
        <f t="shared" si="40"/>
        <v>000</v>
      </c>
      <c r="K113" s="9" t="str">
        <f>IF(OR(J113=J112,BITWISE_XOR(J112,J113)=VALUE("111")),"",LEFT(J113,2))</f>
        <v/>
      </c>
      <c r="L113" s="9" t="str">
        <f>IF(OR(J113=J112,BITWISE_XOR(J112,J113)=VALUE("111")),"",RIGHT(J113,1))</f>
        <v/>
      </c>
      <c r="M113" s="9" t="b">
        <f>BITWISE_XOR(BIN2DEC(J112),7)=BIN2DEC(J113)</f>
        <v>0</v>
      </c>
      <c r="N113" s="9">
        <f t="shared" si="41"/>
        <v>0</v>
      </c>
      <c r="O113" s="9" t="str">
        <f t="shared" si="42"/>
        <v/>
      </c>
      <c r="P113" s="15" t="str">
        <f t="shared" si="37"/>
        <v/>
      </c>
    </row>
    <row r="114" spans="7:16" x14ac:dyDescent="0.25">
      <c r="G114">
        <v>7</v>
      </c>
      <c r="H114" t="str">
        <f t="shared" si="39"/>
        <v>111</v>
      </c>
      <c r="J114" s="14" t="str">
        <f t="shared" si="40"/>
        <v>111</v>
      </c>
      <c r="K114" s="9" t="str">
        <f>IF(OR(J114=J113,BITWISE_XOR(J113,J114)=VALUE("111")),"",LEFT(J114,2))</f>
        <v/>
      </c>
      <c r="L114" s="9" t="str">
        <f>IF(OR(J114=J113,BITWISE_XOR(J113,J114)=VALUE("111")),"",RIGHT(J114,1))</f>
        <v/>
      </c>
      <c r="M114" s="9" t="b">
        <f>BITWISE_XOR(BIN2DEC(J113),7)=BIN2DEC(J114)</f>
        <v>1</v>
      </c>
      <c r="N114" s="9">
        <f t="shared" si="41"/>
        <v>0</v>
      </c>
      <c r="O114" s="9" t="str">
        <f t="shared" si="42"/>
        <v/>
      </c>
      <c r="P114" s="15" t="str">
        <f t="shared" si="37"/>
        <v/>
      </c>
    </row>
    <row r="115" spans="7:16" x14ac:dyDescent="0.25">
      <c r="G115">
        <v>3</v>
      </c>
      <c r="H115" t="str">
        <f t="shared" si="39"/>
        <v>011</v>
      </c>
      <c r="J115" s="14" t="str">
        <f t="shared" ref="J115:J157" si="43">H115</f>
        <v>011</v>
      </c>
      <c r="K115" s="9" t="str">
        <f>IF(OR(J115=J114,BITWISE_XOR(J114,J115)=VALUE("111")),"",LEFT(J115,2))</f>
        <v>01</v>
      </c>
      <c r="L115" s="9" t="str">
        <f>IF(OR(J115=J114,BITWISE_XOR(J114,J115)=VALUE("111")),"",RIGHT(J115,1))</f>
        <v>1</v>
      </c>
      <c r="M115" s="9" t="b">
        <f>BITWISE_XOR(BIN2DEC(J114),7)=BIN2DEC(J115)</f>
        <v>0</v>
      </c>
      <c r="N115" s="9">
        <f t="shared" si="41"/>
        <v>1</v>
      </c>
      <c r="O115" s="9" t="str">
        <f t="shared" si="42"/>
        <v>01</v>
      </c>
      <c r="P115" s="15" t="str">
        <f t="shared" si="37"/>
        <v/>
      </c>
    </row>
    <row r="116" spans="7:16" x14ac:dyDescent="0.25">
      <c r="G116">
        <v>3</v>
      </c>
      <c r="H116" t="str">
        <f t="shared" si="39"/>
        <v>011</v>
      </c>
      <c r="J116" s="14" t="str">
        <f t="shared" si="43"/>
        <v>011</v>
      </c>
      <c r="K116" s="9" t="str">
        <f>IF(OR(J116=J115,BITWISE_XOR(J115,J116)=VALUE("111")),"",LEFT(J116,2))</f>
        <v/>
      </c>
      <c r="L116" s="9" t="str">
        <f>IF(OR(J116=J115,BITWISE_XOR(J115,J116)=VALUE("111")),"",RIGHT(J116,1))</f>
        <v/>
      </c>
      <c r="M116" s="9" t="b">
        <f>BITWISE_XOR(BIN2DEC(J115),7)=BIN2DEC(J116)</f>
        <v>0</v>
      </c>
      <c r="N116" s="9">
        <f t="shared" si="41"/>
        <v>1</v>
      </c>
      <c r="O116" s="9" t="str">
        <f t="shared" si="42"/>
        <v>01</v>
      </c>
      <c r="P116" s="15" t="str">
        <f t="shared" si="37"/>
        <v/>
      </c>
    </row>
    <row r="117" spans="7:16" x14ac:dyDescent="0.25">
      <c r="G117">
        <v>3</v>
      </c>
      <c r="H117" t="str">
        <f t="shared" si="39"/>
        <v>011</v>
      </c>
      <c r="J117" s="14" t="str">
        <f t="shared" si="43"/>
        <v>011</v>
      </c>
      <c r="K117" s="9" t="str">
        <f>IF(OR(J117=J116,BITWISE_XOR(J116,J117)=VALUE("111")),"",LEFT(J117,2))</f>
        <v/>
      </c>
      <c r="L117" s="9" t="str">
        <f>IF(OR(J117=J116,BITWISE_XOR(J116,J117)=VALUE("111")),"",RIGHT(J117,1))</f>
        <v/>
      </c>
      <c r="M117" s="9" t="b">
        <f>BITWISE_XOR(BIN2DEC(J116),7)=BIN2DEC(J117)</f>
        <v>0</v>
      </c>
      <c r="N117" s="9">
        <f t="shared" si="41"/>
        <v>1</v>
      </c>
      <c r="O117" s="9" t="str">
        <f t="shared" si="42"/>
        <v>01</v>
      </c>
      <c r="P117" s="15" t="str">
        <f t="shared" si="37"/>
        <v/>
      </c>
    </row>
    <row r="118" spans="7:16" x14ac:dyDescent="0.25">
      <c r="G118">
        <v>7</v>
      </c>
      <c r="H118" t="str">
        <f t="shared" si="39"/>
        <v>111</v>
      </c>
      <c r="J118" s="14" t="str">
        <f t="shared" si="43"/>
        <v>111</v>
      </c>
      <c r="K118" s="9" t="str">
        <f>IF(OR(J118=J117,BITWISE_XOR(J117,J118)=VALUE("111")),"",LEFT(J118,2))</f>
        <v>11</v>
      </c>
      <c r="L118" s="9" t="str">
        <f>IF(OR(J118=J117,BITWISE_XOR(J117,J118)=VALUE("111")),"",RIGHT(J118,1))</f>
        <v>1</v>
      </c>
      <c r="M118" s="9" t="b">
        <f>BITWISE_XOR(BIN2DEC(J117),7)=BIN2DEC(J118)</f>
        <v>0</v>
      </c>
      <c r="N118" s="9">
        <f t="shared" si="41"/>
        <v>2</v>
      </c>
      <c r="O118" s="9" t="str">
        <f t="shared" si="42"/>
        <v>1101</v>
      </c>
      <c r="P118" s="15" t="str">
        <f t="shared" si="37"/>
        <v/>
      </c>
    </row>
    <row r="119" spans="7:16" x14ac:dyDescent="0.25">
      <c r="G119">
        <v>6</v>
      </c>
      <c r="H119" t="str">
        <f t="shared" si="39"/>
        <v>110</v>
      </c>
      <c r="J119" s="14" t="str">
        <f t="shared" si="43"/>
        <v>110</v>
      </c>
      <c r="K119" s="9" t="str">
        <f>IF(OR(J119=J118,BITWISE_XOR(J118,J119)=VALUE("111")),"",LEFT(J119,2))</f>
        <v>11</v>
      </c>
      <c r="L119" s="9" t="str">
        <f>IF(OR(J119=J118,BITWISE_XOR(J118,J119)=VALUE("111")),"",RIGHT(J119,1))</f>
        <v>0</v>
      </c>
      <c r="M119" s="9" t="b">
        <f>BITWISE_XOR(BIN2DEC(J118),7)=BIN2DEC(J119)</f>
        <v>0</v>
      </c>
      <c r="N119" s="9">
        <f t="shared" si="41"/>
        <v>3</v>
      </c>
      <c r="O119" s="9" t="str">
        <f t="shared" si="42"/>
        <v>111101</v>
      </c>
      <c r="P119" s="15" t="str">
        <f t="shared" si="37"/>
        <v/>
      </c>
    </row>
    <row r="120" spans="7:16" x14ac:dyDescent="0.25">
      <c r="G120">
        <v>6</v>
      </c>
      <c r="H120" t="str">
        <f t="shared" si="39"/>
        <v>110</v>
      </c>
      <c r="J120" s="14" t="str">
        <f t="shared" si="43"/>
        <v>110</v>
      </c>
      <c r="K120" s="9" t="str">
        <f>IF(OR(J120=J119,BITWISE_XOR(J119,J120)=VALUE("111")),"",LEFT(J120,2))</f>
        <v/>
      </c>
      <c r="L120" s="9" t="str">
        <f>IF(OR(J120=J119,BITWISE_XOR(J119,J120)=VALUE("111")),"",RIGHT(J120,1))</f>
        <v/>
      </c>
      <c r="M120" s="9" t="b">
        <f>BITWISE_XOR(BIN2DEC(J119),7)=BIN2DEC(J120)</f>
        <v>0</v>
      </c>
      <c r="N120" s="9">
        <f t="shared" si="41"/>
        <v>3</v>
      </c>
      <c r="O120" s="9" t="str">
        <f t="shared" si="42"/>
        <v>111101</v>
      </c>
      <c r="P120" s="15" t="str">
        <f t="shared" si="37"/>
        <v/>
      </c>
    </row>
    <row r="121" spans="7:16" x14ac:dyDescent="0.25">
      <c r="G121">
        <v>0</v>
      </c>
      <c r="H121" t="str">
        <f t="shared" si="39"/>
        <v>000</v>
      </c>
      <c r="J121" s="14" t="str">
        <f t="shared" si="43"/>
        <v>000</v>
      </c>
      <c r="K121" s="9" t="str">
        <f>IF(OR(J121=J120,BITWISE_XOR(J120,J121)=VALUE("111")),"",LEFT(J121,2))</f>
        <v>00</v>
      </c>
      <c r="L121" s="9" t="str">
        <f>IF(OR(J121=J120,BITWISE_XOR(J120,J121)=VALUE("111")),"",RIGHT(J121,1))</f>
        <v>0</v>
      </c>
      <c r="M121" s="9" t="b">
        <f>BITWISE_XOR(BIN2DEC(J120),7)=BIN2DEC(J121)</f>
        <v>0</v>
      </c>
      <c r="N121" s="9">
        <f t="shared" si="41"/>
        <v>0</v>
      </c>
      <c r="O121" s="9" t="str">
        <f t="shared" si="42"/>
        <v>00111101</v>
      </c>
      <c r="P121" s="15">
        <f>IF(AND(N121=0,N120=3),BIN2DEC(O121),"")</f>
        <v>61</v>
      </c>
    </row>
    <row r="122" spans="7:16" x14ac:dyDescent="0.25">
      <c r="G122">
        <v>0</v>
      </c>
      <c r="H122" t="str">
        <f t="shared" si="39"/>
        <v>000</v>
      </c>
      <c r="J122" s="14" t="str">
        <f t="shared" si="43"/>
        <v>000</v>
      </c>
      <c r="K122" s="9" t="str">
        <f>IF(OR(J122=J121,BITWISE_XOR(J121,J122)=VALUE("111")),"",LEFT(J122,2))</f>
        <v/>
      </c>
      <c r="L122" s="9" t="str">
        <f>IF(OR(J122=J121,BITWISE_XOR(J121,J122)=VALUE("111")),"",RIGHT(J122,1))</f>
        <v/>
      </c>
      <c r="M122" s="9" t="b">
        <f>BITWISE_XOR(BIN2DEC(J121),7)=BIN2DEC(J122)</f>
        <v>0</v>
      </c>
      <c r="N122" s="9">
        <f t="shared" si="41"/>
        <v>0</v>
      </c>
      <c r="O122" s="9" t="str">
        <f t="shared" si="42"/>
        <v/>
      </c>
      <c r="P122" s="15" t="str">
        <f t="shared" ref="P122:P157" si="44">IF(AND(N122=0,N121=3),BIN2DEC(O122),"")</f>
        <v/>
      </c>
    </row>
    <row r="123" spans="7:16" x14ac:dyDescent="0.25">
      <c r="G123">
        <v>0</v>
      </c>
      <c r="H123" t="str">
        <f t="shared" si="39"/>
        <v>000</v>
      </c>
      <c r="J123" s="14" t="str">
        <f t="shared" si="43"/>
        <v>000</v>
      </c>
      <c r="K123" s="9" t="str">
        <f>IF(OR(J123=J122,BITWISE_XOR(J122,J123)=VALUE("111")),"",LEFT(J123,2))</f>
        <v/>
      </c>
      <c r="L123" s="9" t="str">
        <f>IF(OR(J123=J122,BITWISE_XOR(J122,J123)=VALUE("111")),"",RIGHT(J123,1))</f>
        <v/>
      </c>
      <c r="M123" s="9" t="b">
        <f>BITWISE_XOR(BIN2DEC(J122),7)=BIN2DEC(J123)</f>
        <v>0</v>
      </c>
      <c r="N123" s="9">
        <f t="shared" si="41"/>
        <v>0</v>
      </c>
      <c r="O123" s="9" t="str">
        <f t="shared" si="42"/>
        <v/>
      </c>
      <c r="P123" s="15" t="str">
        <f t="shared" si="44"/>
        <v/>
      </c>
    </row>
    <row r="124" spans="7:16" x14ac:dyDescent="0.25">
      <c r="G124">
        <v>7</v>
      </c>
      <c r="H124" t="str">
        <f t="shared" si="39"/>
        <v>111</v>
      </c>
      <c r="J124" s="14" t="str">
        <f t="shared" si="43"/>
        <v>111</v>
      </c>
      <c r="K124" s="9" t="str">
        <f>IF(OR(J124=J123,BITWISE_XOR(J123,J124)=VALUE("111")),"",LEFT(J124,2))</f>
        <v/>
      </c>
      <c r="L124" s="9" t="str">
        <f>IF(OR(J124=J123,BITWISE_XOR(J123,J124)=VALUE("111")),"",RIGHT(J124,1))</f>
        <v/>
      </c>
      <c r="M124" s="9" t="b">
        <f>BITWISE_XOR(BIN2DEC(J123),7)=BIN2DEC(J124)</f>
        <v>1</v>
      </c>
      <c r="N124" s="9">
        <f t="shared" si="41"/>
        <v>0</v>
      </c>
      <c r="O124" s="9" t="str">
        <f t="shared" si="42"/>
        <v/>
      </c>
      <c r="P124" s="15" t="str">
        <f t="shared" si="44"/>
        <v/>
      </c>
    </row>
    <row r="125" spans="7:16" x14ac:dyDescent="0.25">
      <c r="G125">
        <v>0</v>
      </c>
      <c r="H125" t="str">
        <f t="shared" si="39"/>
        <v>000</v>
      </c>
      <c r="J125" s="14" t="str">
        <f t="shared" si="43"/>
        <v>000</v>
      </c>
      <c r="K125" s="9" t="str">
        <f>IF(OR(J125=J124,BITWISE_XOR(J124,J125)=VALUE("111")),"",LEFT(J125,2))</f>
        <v/>
      </c>
      <c r="L125" s="9" t="str">
        <f>IF(OR(J125=J124,BITWISE_XOR(J124,J125)=VALUE("111")),"",RIGHT(J125,1))</f>
        <v/>
      </c>
      <c r="M125" s="9" t="b">
        <f>BITWISE_XOR(BIN2DEC(J124),7)=BIN2DEC(J125)</f>
        <v>1</v>
      </c>
      <c r="N125" s="9">
        <f t="shared" si="41"/>
        <v>0</v>
      </c>
      <c r="O125" s="9" t="str">
        <f t="shared" si="42"/>
        <v/>
      </c>
      <c r="P125" s="15" t="str">
        <f t="shared" si="44"/>
        <v/>
      </c>
    </row>
    <row r="126" spans="7:16" x14ac:dyDescent="0.25">
      <c r="G126">
        <v>0</v>
      </c>
      <c r="H126" t="str">
        <f t="shared" si="39"/>
        <v>000</v>
      </c>
      <c r="J126" s="14" t="str">
        <f t="shared" si="43"/>
        <v>000</v>
      </c>
      <c r="K126" s="9" t="str">
        <f>IF(OR(J126=J125,BITWISE_XOR(J125,J126)=VALUE("111")),"",LEFT(J126,2))</f>
        <v/>
      </c>
      <c r="L126" s="9" t="str">
        <f>IF(OR(J126=J125,BITWISE_XOR(J125,J126)=VALUE("111")),"",RIGHT(J126,1))</f>
        <v/>
      </c>
      <c r="M126" s="9" t="b">
        <f>BITWISE_XOR(BIN2DEC(J125),7)=BIN2DEC(J126)</f>
        <v>0</v>
      </c>
      <c r="N126" s="9">
        <f t="shared" si="41"/>
        <v>0</v>
      </c>
      <c r="O126" s="9" t="str">
        <f t="shared" si="42"/>
        <v/>
      </c>
      <c r="P126" s="15" t="str">
        <f t="shared" si="44"/>
        <v/>
      </c>
    </row>
    <row r="127" spans="7:16" x14ac:dyDescent="0.25">
      <c r="G127">
        <v>2</v>
      </c>
      <c r="H127" t="str">
        <f t="shared" si="39"/>
        <v>010</v>
      </c>
      <c r="J127" s="14" t="str">
        <f t="shared" si="43"/>
        <v>010</v>
      </c>
      <c r="K127" s="9" t="str">
        <f>IF(OR(J127=J126,BITWISE_XOR(J126,J127)=VALUE("111")),"",LEFT(J127,2))</f>
        <v>01</v>
      </c>
      <c r="L127" s="9" t="str">
        <f>IF(OR(J127=J126,BITWISE_XOR(J126,J127)=VALUE("111")),"",RIGHT(J127,1))</f>
        <v>0</v>
      </c>
      <c r="M127" s="9" t="b">
        <f>BITWISE_XOR(BIN2DEC(J126),7)=BIN2DEC(J127)</f>
        <v>0</v>
      </c>
      <c r="N127" s="9">
        <f t="shared" si="41"/>
        <v>1</v>
      </c>
      <c r="O127" s="9" t="str">
        <f t="shared" si="42"/>
        <v>01</v>
      </c>
      <c r="P127" s="15" t="str">
        <f t="shared" si="44"/>
        <v/>
      </c>
    </row>
    <row r="128" spans="7:16" x14ac:dyDescent="0.25">
      <c r="G128">
        <v>2</v>
      </c>
      <c r="H128" t="str">
        <f t="shared" si="39"/>
        <v>010</v>
      </c>
      <c r="J128" s="14" t="str">
        <f t="shared" si="43"/>
        <v>010</v>
      </c>
      <c r="K128" s="9" t="str">
        <f>IF(OR(J128=J127,BITWISE_XOR(J127,J128)=VALUE("111")),"",LEFT(J128,2))</f>
        <v/>
      </c>
      <c r="L128" s="9" t="str">
        <f>IF(OR(J128=J127,BITWISE_XOR(J127,J128)=VALUE("111")),"",RIGHT(J128,1))</f>
        <v/>
      </c>
      <c r="M128" s="9" t="b">
        <f>BITWISE_XOR(BIN2DEC(J127),7)=BIN2DEC(J128)</f>
        <v>0</v>
      </c>
      <c r="N128" s="9">
        <f t="shared" si="41"/>
        <v>1</v>
      </c>
      <c r="O128" s="9" t="str">
        <f t="shared" si="42"/>
        <v>01</v>
      </c>
      <c r="P128" s="15" t="str">
        <f t="shared" si="44"/>
        <v/>
      </c>
    </row>
    <row r="129" spans="7:16" x14ac:dyDescent="0.25">
      <c r="G129">
        <v>3</v>
      </c>
      <c r="H129" t="str">
        <f t="shared" si="39"/>
        <v>011</v>
      </c>
      <c r="J129" s="14" t="str">
        <f t="shared" si="43"/>
        <v>011</v>
      </c>
      <c r="K129" s="9" t="str">
        <f>IF(OR(J129=J128,BITWISE_XOR(J128,J129)=VALUE("111")),"",LEFT(J129,2))</f>
        <v>01</v>
      </c>
      <c r="L129" s="9" t="str">
        <f>IF(OR(J129=J128,BITWISE_XOR(J128,J129)=VALUE("111")),"",RIGHT(J129,1))</f>
        <v>1</v>
      </c>
      <c r="M129" s="9" t="b">
        <f>BITWISE_XOR(BIN2DEC(J128),7)=BIN2DEC(J129)</f>
        <v>0</v>
      </c>
      <c r="N129" s="9">
        <f t="shared" si="41"/>
        <v>2</v>
      </c>
      <c r="O129" s="9" t="str">
        <f t="shared" si="42"/>
        <v>0101</v>
      </c>
      <c r="P129" s="15" t="str">
        <f t="shared" si="44"/>
        <v/>
      </c>
    </row>
    <row r="130" spans="7:16" x14ac:dyDescent="0.25">
      <c r="G130">
        <v>3</v>
      </c>
      <c r="H130" t="str">
        <f t="shared" si="39"/>
        <v>011</v>
      </c>
      <c r="J130" s="14" t="str">
        <f t="shared" si="43"/>
        <v>011</v>
      </c>
      <c r="K130" s="9" t="str">
        <f>IF(OR(J130=J129,BITWISE_XOR(J129,J130)=VALUE("111")),"",LEFT(J130,2))</f>
        <v/>
      </c>
      <c r="L130" s="9" t="str">
        <f>IF(OR(J130=J129,BITWISE_XOR(J129,J130)=VALUE("111")),"",RIGHT(J130,1))</f>
        <v/>
      </c>
      <c r="M130" s="9" t="b">
        <f>BITWISE_XOR(BIN2DEC(J129),7)=BIN2DEC(J130)</f>
        <v>0</v>
      </c>
      <c r="N130" s="9">
        <f t="shared" si="41"/>
        <v>2</v>
      </c>
      <c r="O130" s="9" t="str">
        <f t="shared" si="42"/>
        <v>0101</v>
      </c>
      <c r="P130" s="15" t="str">
        <f t="shared" si="44"/>
        <v/>
      </c>
    </row>
    <row r="131" spans="7:16" x14ac:dyDescent="0.25">
      <c r="G131">
        <v>2</v>
      </c>
      <c r="H131" t="str">
        <f t="shared" si="39"/>
        <v>010</v>
      </c>
      <c r="J131" s="14" t="str">
        <f t="shared" si="43"/>
        <v>010</v>
      </c>
      <c r="K131" s="9" t="str">
        <f>IF(OR(J131=J130,BITWISE_XOR(J130,J131)=VALUE("111")),"",LEFT(J131,2))</f>
        <v>01</v>
      </c>
      <c r="L131" s="9" t="str">
        <f>IF(OR(J131=J130,BITWISE_XOR(J130,J131)=VALUE("111")),"",RIGHT(J131,1))</f>
        <v>0</v>
      </c>
      <c r="M131" s="9" t="b">
        <f>BITWISE_XOR(BIN2DEC(J130),7)=BIN2DEC(J131)</f>
        <v>0</v>
      </c>
      <c r="N131" s="9">
        <f t="shared" si="41"/>
        <v>3</v>
      </c>
      <c r="O131" s="9" t="str">
        <f t="shared" si="42"/>
        <v>010101</v>
      </c>
      <c r="P131" s="15" t="str">
        <f t="shared" si="44"/>
        <v/>
      </c>
    </row>
    <row r="132" spans="7:16" x14ac:dyDescent="0.25">
      <c r="G132">
        <v>2</v>
      </c>
      <c r="H132" t="str">
        <f t="shared" si="39"/>
        <v>010</v>
      </c>
      <c r="J132" s="14" t="str">
        <f t="shared" si="43"/>
        <v>010</v>
      </c>
      <c r="K132" s="9" t="str">
        <f>IF(OR(J132=J131,BITWISE_XOR(J131,J132)=VALUE("111")),"",LEFT(J132,2))</f>
        <v/>
      </c>
      <c r="L132" s="9" t="str">
        <f>IF(OR(J132=J131,BITWISE_XOR(J131,J132)=VALUE("111")),"",RIGHT(J132,1))</f>
        <v/>
      </c>
      <c r="M132" s="9" t="b">
        <f>BITWISE_XOR(BIN2DEC(J131),7)=BIN2DEC(J132)</f>
        <v>0</v>
      </c>
      <c r="N132" s="9">
        <f t="shared" si="41"/>
        <v>3</v>
      </c>
      <c r="O132" s="9" t="str">
        <f t="shared" si="42"/>
        <v>010101</v>
      </c>
      <c r="P132" s="15" t="str">
        <f t="shared" si="44"/>
        <v/>
      </c>
    </row>
    <row r="133" spans="7:16" x14ac:dyDescent="0.25">
      <c r="G133">
        <v>0</v>
      </c>
      <c r="H133" t="str">
        <f t="shared" si="39"/>
        <v>000</v>
      </c>
      <c r="J133" s="14" t="str">
        <f t="shared" si="43"/>
        <v>000</v>
      </c>
      <c r="K133" s="9" t="str">
        <f>IF(OR(J133=J132,BITWISE_XOR(J132,J133)=VALUE("111")),"",LEFT(J133,2))</f>
        <v>00</v>
      </c>
      <c r="L133" s="9" t="str">
        <f>IF(OR(J133=J132,BITWISE_XOR(J132,J133)=VALUE("111")),"",RIGHT(J133,1))</f>
        <v>0</v>
      </c>
      <c r="M133" s="9" t="b">
        <f>BITWISE_XOR(BIN2DEC(J132),7)=BIN2DEC(J133)</f>
        <v>0</v>
      </c>
      <c r="N133" s="9">
        <f t="shared" si="41"/>
        <v>0</v>
      </c>
      <c r="O133" s="9" t="str">
        <f t="shared" si="42"/>
        <v>00010101</v>
      </c>
      <c r="P133" s="15">
        <f t="shared" si="44"/>
        <v>21</v>
      </c>
    </row>
    <row r="134" spans="7:16" x14ac:dyDescent="0.25">
      <c r="G134">
        <v>0</v>
      </c>
      <c r="H134" t="str">
        <f t="shared" si="39"/>
        <v>000</v>
      </c>
      <c r="J134" s="14" t="str">
        <f t="shared" si="43"/>
        <v>000</v>
      </c>
      <c r="K134" s="9" t="str">
        <f>IF(OR(J134=J133,BITWISE_XOR(J133,J134)=VALUE("111")),"",LEFT(J134,2))</f>
        <v/>
      </c>
      <c r="L134" s="9" t="str">
        <f>IF(OR(J134=J133,BITWISE_XOR(J133,J134)=VALUE("111")),"",RIGHT(J134,1))</f>
        <v/>
      </c>
      <c r="M134" s="9" t="b">
        <f>BITWISE_XOR(BIN2DEC(J133),7)=BIN2DEC(J134)</f>
        <v>0</v>
      </c>
      <c r="N134" s="9">
        <f t="shared" si="41"/>
        <v>0</v>
      </c>
      <c r="O134" s="9" t="str">
        <f t="shared" si="42"/>
        <v/>
      </c>
      <c r="P134" s="15" t="str">
        <f t="shared" si="44"/>
        <v/>
      </c>
    </row>
    <row r="135" spans="7:16" x14ac:dyDescent="0.25">
      <c r="G135">
        <v>4</v>
      </c>
      <c r="H135" t="str">
        <f t="shared" si="39"/>
        <v>100</v>
      </c>
      <c r="J135" s="14" t="str">
        <f t="shared" si="43"/>
        <v>100</v>
      </c>
      <c r="K135" s="9" t="str">
        <f>IF(OR(J135=J134,BITWISE_XOR(J134,J135)=VALUE("111")),"",LEFT(J135,2))</f>
        <v>10</v>
      </c>
      <c r="L135" s="9" t="str">
        <f>IF(OR(J135=J134,BITWISE_XOR(J134,J135)=VALUE("111")),"",RIGHT(J135,1))</f>
        <v>0</v>
      </c>
      <c r="M135" s="9" t="b">
        <f>BITWISE_XOR(BIN2DEC(J134),7)=BIN2DEC(J135)</f>
        <v>0</v>
      </c>
      <c r="N135" s="9">
        <f t="shared" si="41"/>
        <v>1</v>
      </c>
      <c r="O135" s="9" t="str">
        <f t="shared" si="42"/>
        <v>10</v>
      </c>
      <c r="P135" s="15" t="str">
        <f t="shared" si="44"/>
        <v/>
      </c>
    </row>
    <row r="136" spans="7:16" x14ac:dyDescent="0.25">
      <c r="G136">
        <v>4</v>
      </c>
      <c r="H136" t="str">
        <f t="shared" si="39"/>
        <v>100</v>
      </c>
      <c r="J136" s="14" t="str">
        <f t="shared" si="43"/>
        <v>100</v>
      </c>
      <c r="K136" s="9" t="str">
        <f>IF(OR(J136=J135,BITWISE_XOR(J135,J136)=VALUE("111")),"",LEFT(J136,2))</f>
        <v/>
      </c>
      <c r="L136" s="9" t="str">
        <f>IF(OR(J136=J135,BITWISE_XOR(J135,J136)=VALUE("111")),"",RIGHT(J136,1))</f>
        <v/>
      </c>
      <c r="M136" s="9" t="b">
        <f>BITWISE_XOR(BIN2DEC(J135),7)=BIN2DEC(J136)</f>
        <v>0</v>
      </c>
      <c r="N136" s="9">
        <f t="shared" si="41"/>
        <v>1</v>
      </c>
      <c r="O136" s="9" t="str">
        <f t="shared" si="42"/>
        <v>10</v>
      </c>
      <c r="P136" s="15" t="str">
        <f t="shared" si="44"/>
        <v/>
      </c>
    </row>
    <row r="137" spans="7:16" x14ac:dyDescent="0.25">
      <c r="G137">
        <v>5</v>
      </c>
      <c r="H137" t="str">
        <f t="shared" si="39"/>
        <v>101</v>
      </c>
      <c r="J137" s="14" t="str">
        <f t="shared" si="43"/>
        <v>101</v>
      </c>
      <c r="K137" s="9" t="str">
        <f>IF(OR(J137=J136,BITWISE_XOR(J136,J137)=VALUE("111")),"",LEFT(J137,2))</f>
        <v>10</v>
      </c>
      <c r="L137" s="9" t="str">
        <f>IF(OR(J137=J136,BITWISE_XOR(J136,J137)=VALUE("111")),"",RIGHT(J137,1))</f>
        <v>1</v>
      </c>
      <c r="M137" s="9" t="b">
        <f>BITWISE_XOR(BIN2DEC(J136),7)=BIN2DEC(J137)</f>
        <v>0</v>
      </c>
      <c r="N137" s="9">
        <f t="shared" si="41"/>
        <v>2</v>
      </c>
      <c r="O137" s="9" t="str">
        <f t="shared" si="42"/>
        <v>1010</v>
      </c>
      <c r="P137" s="15" t="str">
        <f t="shared" si="44"/>
        <v/>
      </c>
    </row>
    <row r="138" spans="7:16" x14ac:dyDescent="0.25">
      <c r="G138">
        <v>5</v>
      </c>
      <c r="H138" t="str">
        <f t="shared" si="39"/>
        <v>101</v>
      </c>
      <c r="J138" s="14" t="str">
        <f t="shared" si="43"/>
        <v>101</v>
      </c>
      <c r="K138" s="9" t="str">
        <f>IF(OR(J138=J137,BITWISE_XOR(J137,J138)=VALUE("111")),"",LEFT(J138,2))</f>
        <v/>
      </c>
      <c r="L138" s="9" t="str">
        <f>IF(OR(J138=J137,BITWISE_XOR(J137,J138)=VALUE("111")),"",RIGHT(J138,1))</f>
        <v/>
      </c>
      <c r="M138" s="9" t="b">
        <f>BITWISE_XOR(BIN2DEC(J137),7)=BIN2DEC(J138)</f>
        <v>0</v>
      </c>
      <c r="N138" s="9">
        <f t="shared" si="41"/>
        <v>2</v>
      </c>
      <c r="O138" s="9" t="str">
        <f t="shared" si="42"/>
        <v>1010</v>
      </c>
      <c r="P138" s="15" t="str">
        <f t="shared" si="44"/>
        <v/>
      </c>
    </row>
    <row r="139" spans="7:16" x14ac:dyDescent="0.25">
      <c r="G139">
        <v>5</v>
      </c>
      <c r="H139" t="str">
        <f t="shared" si="39"/>
        <v>101</v>
      </c>
      <c r="J139" s="14" t="str">
        <f t="shared" si="43"/>
        <v>101</v>
      </c>
      <c r="K139" s="9" t="str">
        <f>IF(OR(J139=J138,BITWISE_XOR(J138,J139)=VALUE("111")),"",LEFT(J139,2))</f>
        <v/>
      </c>
      <c r="L139" s="9" t="str">
        <f>IF(OR(J139=J138,BITWISE_XOR(J138,J139)=VALUE("111")),"",RIGHT(J139,1))</f>
        <v/>
      </c>
      <c r="M139" s="9" t="b">
        <f>BITWISE_XOR(BIN2DEC(J138),7)=BIN2DEC(J139)</f>
        <v>0</v>
      </c>
      <c r="N139" s="9">
        <f t="shared" si="41"/>
        <v>2</v>
      </c>
      <c r="O139" s="9" t="str">
        <f t="shared" si="42"/>
        <v>1010</v>
      </c>
      <c r="P139" s="15" t="str">
        <f t="shared" si="44"/>
        <v/>
      </c>
    </row>
    <row r="140" spans="7:16" x14ac:dyDescent="0.25">
      <c r="G140">
        <v>7</v>
      </c>
      <c r="H140" t="str">
        <f t="shared" si="39"/>
        <v>111</v>
      </c>
      <c r="J140" s="14" t="str">
        <f t="shared" si="43"/>
        <v>111</v>
      </c>
      <c r="K140" s="9" t="str">
        <f>IF(OR(J140=J139,BITWISE_XOR(J139,J140)=VALUE("111")),"",LEFT(J140,2))</f>
        <v>11</v>
      </c>
      <c r="L140" s="9" t="str">
        <f>IF(OR(J140=J139,BITWISE_XOR(J139,J140)=VALUE("111")),"",RIGHT(J140,1))</f>
        <v>1</v>
      </c>
      <c r="M140" s="9" t="b">
        <f>BITWISE_XOR(BIN2DEC(J139),7)=BIN2DEC(J140)</f>
        <v>0</v>
      </c>
      <c r="N140" s="9">
        <f t="shared" si="41"/>
        <v>3</v>
      </c>
      <c r="O140" s="9" t="str">
        <f t="shared" si="42"/>
        <v>111010</v>
      </c>
      <c r="P140" s="15" t="str">
        <f t="shared" si="44"/>
        <v/>
      </c>
    </row>
    <row r="141" spans="7:16" x14ac:dyDescent="0.25">
      <c r="G141">
        <v>6</v>
      </c>
      <c r="H141" t="str">
        <f t="shared" si="39"/>
        <v>110</v>
      </c>
      <c r="J141" s="14" t="str">
        <f t="shared" si="43"/>
        <v>110</v>
      </c>
      <c r="K141" s="9" t="str">
        <f>IF(OR(J141=J140,BITWISE_XOR(J140,J141)=VALUE("111")),"",LEFT(J141,2))</f>
        <v>11</v>
      </c>
      <c r="L141" s="9" t="str">
        <f>IF(OR(J141=J140,BITWISE_XOR(J140,J141)=VALUE("111")),"",RIGHT(J141,1))</f>
        <v>0</v>
      </c>
      <c r="M141" s="9" t="b">
        <f>BITWISE_XOR(BIN2DEC(J140),7)=BIN2DEC(J141)</f>
        <v>0</v>
      </c>
      <c r="N141" s="9">
        <f t="shared" si="41"/>
        <v>0</v>
      </c>
      <c r="O141" s="9" t="str">
        <f t="shared" si="42"/>
        <v>11111010</v>
      </c>
      <c r="P141" s="15">
        <f t="shared" si="44"/>
        <v>250</v>
      </c>
    </row>
    <row r="142" spans="7:16" x14ac:dyDescent="0.25">
      <c r="G142">
        <v>6</v>
      </c>
      <c r="H142" t="str">
        <f t="shared" si="39"/>
        <v>110</v>
      </c>
      <c r="J142" s="14" t="str">
        <f t="shared" si="43"/>
        <v>110</v>
      </c>
      <c r="K142" s="9" t="str">
        <f>IF(OR(J142=J141,BITWISE_XOR(J141,J142)=VALUE("111")),"",LEFT(J142,2))</f>
        <v/>
      </c>
      <c r="L142" s="9" t="str">
        <f>IF(OR(J142=J141,BITWISE_XOR(J141,J142)=VALUE("111")),"",RIGHT(J142,1))</f>
        <v/>
      </c>
      <c r="M142" s="9" t="b">
        <f>BITWISE_XOR(BIN2DEC(J141),7)=BIN2DEC(J142)</f>
        <v>0</v>
      </c>
      <c r="N142" s="9">
        <f t="shared" si="41"/>
        <v>0</v>
      </c>
      <c r="O142" s="9" t="str">
        <f t="shared" si="42"/>
        <v/>
      </c>
      <c r="P142" s="15" t="str">
        <f t="shared" si="44"/>
        <v/>
      </c>
    </row>
    <row r="143" spans="7:16" x14ac:dyDescent="0.25">
      <c r="G143">
        <v>1</v>
      </c>
      <c r="H143" t="str">
        <f t="shared" si="39"/>
        <v>001</v>
      </c>
      <c r="J143" s="14" t="str">
        <f t="shared" si="43"/>
        <v>001</v>
      </c>
      <c r="K143" s="9" t="str">
        <f>IF(OR(J143=J142,BITWISE_XOR(J142,J143)=VALUE("111")),"",LEFT(J143,2))</f>
        <v/>
      </c>
      <c r="L143" s="9" t="str">
        <f>IF(OR(J143=J142,BITWISE_XOR(J142,J143)=VALUE("111")),"",RIGHT(J143,1))</f>
        <v/>
      </c>
      <c r="M143" s="9" t="b">
        <f>BITWISE_XOR(BIN2DEC(J142),7)=BIN2DEC(J143)</f>
        <v>1</v>
      </c>
      <c r="N143" s="9">
        <f t="shared" si="41"/>
        <v>0</v>
      </c>
      <c r="O143" s="9" t="str">
        <f t="shared" si="42"/>
        <v/>
      </c>
      <c r="P143" s="15" t="str">
        <f t="shared" si="44"/>
        <v/>
      </c>
    </row>
    <row r="144" spans="7:16" x14ac:dyDescent="0.25">
      <c r="G144">
        <v>1</v>
      </c>
      <c r="H144" t="str">
        <f t="shared" si="39"/>
        <v>001</v>
      </c>
      <c r="J144" s="14" t="str">
        <f t="shared" si="43"/>
        <v>001</v>
      </c>
      <c r="K144" s="9" t="str">
        <f>IF(OR(J144=J143,BITWISE_XOR(J143,J144)=VALUE("111")),"",LEFT(J144,2))</f>
        <v/>
      </c>
      <c r="L144" s="9" t="str">
        <f>IF(OR(J144=J143,BITWISE_XOR(J143,J144)=VALUE("111")),"",RIGHT(J144,1))</f>
        <v/>
      </c>
      <c r="M144" s="9" t="b">
        <f>BITWISE_XOR(BIN2DEC(J143),7)=BIN2DEC(J144)</f>
        <v>0</v>
      </c>
      <c r="N144" s="9">
        <f t="shared" si="41"/>
        <v>0</v>
      </c>
      <c r="O144" s="9" t="str">
        <f t="shared" si="42"/>
        <v/>
      </c>
      <c r="P144" s="15" t="str">
        <f t="shared" si="44"/>
        <v/>
      </c>
    </row>
    <row r="145" spans="7:16" x14ac:dyDescent="0.25">
      <c r="G145">
        <v>6</v>
      </c>
      <c r="H145" t="str">
        <f t="shared" si="39"/>
        <v>110</v>
      </c>
      <c r="J145" s="14" t="str">
        <f t="shared" si="43"/>
        <v>110</v>
      </c>
      <c r="K145" s="9" t="str">
        <f>IF(OR(J145=J144,BITWISE_XOR(J144,J145)=VALUE("111")),"",LEFT(J145,2))</f>
        <v/>
      </c>
      <c r="L145" s="9" t="str">
        <f>IF(OR(J145=J144,BITWISE_XOR(J144,J145)=VALUE("111")),"",RIGHT(J145,1))</f>
        <v/>
      </c>
      <c r="M145" s="9" t="b">
        <f>BITWISE_XOR(BIN2DEC(J144),7)=BIN2DEC(J145)</f>
        <v>1</v>
      </c>
      <c r="N145" s="9">
        <f t="shared" si="41"/>
        <v>0</v>
      </c>
      <c r="O145" s="9" t="str">
        <f t="shared" si="42"/>
        <v/>
      </c>
      <c r="P145" s="15" t="str">
        <f t="shared" si="44"/>
        <v/>
      </c>
    </row>
    <row r="146" spans="7:16" x14ac:dyDescent="0.25">
      <c r="G146">
        <v>6</v>
      </c>
      <c r="H146" t="str">
        <f t="shared" si="39"/>
        <v>110</v>
      </c>
      <c r="J146" s="14" t="str">
        <f t="shared" si="43"/>
        <v>110</v>
      </c>
      <c r="K146" s="9" t="str">
        <f>IF(OR(J146=J145,BITWISE_XOR(J145,J146)=VALUE("111")),"",LEFT(J146,2))</f>
        <v/>
      </c>
      <c r="L146" s="9" t="str">
        <f>IF(OR(J146=J145,BITWISE_XOR(J145,J146)=VALUE("111")),"",RIGHT(J146,1))</f>
        <v/>
      </c>
      <c r="M146" s="9" t="b">
        <f>BITWISE_XOR(BIN2DEC(J145),7)=BIN2DEC(J146)</f>
        <v>0</v>
      </c>
      <c r="N146" s="9">
        <f t="shared" si="41"/>
        <v>0</v>
      </c>
      <c r="O146" s="9" t="str">
        <f t="shared" si="42"/>
        <v/>
      </c>
      <c r="P146" s="15" t="str">
        <f t="shared" si="44"/>
        <v/>
      </c>
    </row>
    <row r="147" spans="7:16" x14ac:dyDescent="0.25">
      <c r="G147">
        <v>4</v>
      </c>
      <c r="H147" t="str">
        <f t="shared" si="39"/>
        <v>100</v>
      </c>
      <c r="J147" s="14" t="str">
        <f t="shared" si="43"/>
        <v>100</v>
      </c>
      <c r="K147" s="9" t="str">
        <f>IF(OR(J147=J146,BITWISE_XOR(J146,J147)=VALUE("111")),"",LEFT(J147,2))</f>
        <v>10</v>
      </c>
      <c r="L147" s="9" t="str">
        <f>IF(OR(J147=J146,BITWISE_XOR(J146,J147)=VALUE("111")),"",RIGHT(J147,1))</f>
        <v>0</v>
      </c>
      <c r="M147" s="9" t="b">
        <f>BITWISE_XOR(BIN2DEC(J146),7)=BIN2DEC(J147)</f>
        <v>0</v>
      </c>
      <c r="N147" s="9">
        <f t="shared" si="41"/>
        <v>1</v>
      </c>
      <c r="O147" s="9" t="str">
        <f t="shared" si="42"/>
        <v>10</v>
      </c>
      <c r="P147" s="15" t="str">
        <f t="shared" si="44"/>
        <v/>
      </c>
    </row>
    <row r="148" spans="7:16" x14ac:dyDescent="0.25">
      <c r="G148">
        <v>4</v>
      </c>
      <c r="H148" t="str">
        <f t="shared" si="39"/>
        <v>100</v>
      </c>
      <c r="J148" s="14" t="str">
        <f t="shared" si="43"/>
        <v>100</v>
      </c>
      <c r="K148" s="9" t="str">
        <f>IF(OR(J148=J147,BITWISE_XOR(J147,J148)=VALUE("111")),"",LEFT(J148,2))</f>
        <v/>
      </c>
      <c r="L148" s="9" t="str">
        <f>IF(OR(J148=J147,BITWISE_XOR(J147,J148)=VALUE("111")),"",RIGHT(J148,1))</f>
        <v/>
      </c>
      <c r="M148" s="9" t="b">
        <f>BITWISE_XOR(BIN2DEC(J147),7)=BIN2DEC(J148)</f>
        <v>0</v>
      </c>
      <c r="N148" s="9">
        <f t="shared" si="41"/>
        <v>1</v>
      </c>
      <c r="O148" s="9" t="str">
        <f t="shared" si="42"/>
        <v>10</v>
      </c>
      <c r="P148" s="15" t="str">
        <f t="shared" si="44"/>
        <v/>
      </c>
    </row>
    <row r="149" spans="7:16" x14ac:dyDescent="0.25">
      <c r="G149">
        <v>0</v>
      </c>
      <c r="H149" t="str">
        <f t="shared" si="39"/>
        <v>000</v>
      </c>
      <c r="J149" s="14" t="str">
        <f t="shared" si="43"/>
        <v>000</v>
      </c>
      <c r="K149" s="9" t="str">
        <f>IF(OR(J149=J148,BITWISE_XOR(J148,J149)=VALUE("111")),"",LEFT(J149,2))</f>
        <v>00</v>
      </c>
      <c r="L149" s="9" t="str">
        <f>IF(OR(J149=J148,BITWISE_XOR(J148,J149)=VALUE("111")),"",RIGHT(J149,1))</f>
        <v>0</v>
      </c>
      <c r="M149" s="9" t="b">
        <f>BITWISE_XOR(BIN2DEC(J148),7)=BIN2DEC(J149)</f>
        <v>0</v>
      </c>
      <c r="N149" s="9">
        <f t="shared" si="41"/>
        <v>2</v>
      </c>
      <c r="O149" s="9" t="str">
        <f t="shared" si="42"/>
        <v>0010</v>
      </c>
      <c r="P149" s="15" t="str">
        <f t="shared" si="44"/>
        <v/>
      </c>
    </row>
    <row r="150" spans="7:16" x14ac:dyDescent="0.25">
      <c r="G150">
        <v>0</v>
      </c>
      <c r="H150" t="str">
        <f t="shared" si="39"/>
        <v>000</v>
      </c>
      <c r="J150" s="14" t="str">
        <f t="shared" si="43"/>
        <v>000</v>
      </c>
      <c r="K150" s="9" t="str">
        <f>IF(OR(J150=J149,BITWISE_XOR(J149,J150)=VALUE("111")),"",LEFT(J150,2))</f>
        <v/>
      </c>
      <c r="L150" s="9" t="str">
        <f>IF(OR(J150=J149,BITWISE_XOR(J149,J150)=VALUE("111")),"",RIGHT(J150,1))</f>
        <v/>
      </c>
      <c r="M150" s="9" t="b">
        <f>BITWISE_XOR(BIN2DEC(J149),7)=BIN2DEC(J150)</f>
        <v>0</v>
      </c>
      <c r="N150" s="9">
        <f t="shared" si="41"/>
        <v>2</v>
      </c>
      <c r="O150" s="9" t="str">
        <f t="shared" si="42"/>
        <v>0010</v>
      </c>
      <c r="P150" s="15" t="str">
        <f t="shared" si="44"/>
        <v/>
      </c>
    </row>
    <row r="151" spans="7:16" x14ac:dyDescent="0.25">
      <c r="G151">
        <v>1</v>
      </c>
      <c r="H151" t="str">
        <f t="shared" si="39"/>
        <v>001</v>
      </c>
      <c r="J151" s="14" t="str">
        <f t="shared" si="43"/>
        <v>001</v>
      </c>
      <c r="K151" s="9" t="str">
        <f>IF(OR(J151=J150,BITWISE_XOR(J150,J151)=VALUE("111")),"",LEFT(J151,2))</f>
        <v>00</v>
      </c>
      <c r="L151" s="9" t="str">
        <f>IF(OR(J151=J150,BITWISE_XOR(J150,J151)=VALUE("111")),"",RIGHT(J151,1))</f>
        <v>1</v>
      </c>
      <c r="M151" s="9" t="b">
        <f>BITWISE_XOR(BIN2DEC(J150),7)=BIN2DEC(J151)</f>
        <v>0</v>
      </c>
      <c r="N151" s="9">
        <f t="shared" si="41"/>
        <v>3</v>
      </c>
      <c r="O151" s="9" t="str">
        <f t="shared" si="42"/>
        <v>000010</v>
      </c>
      <c r="P151" s="15" t="str">
        <f t="shared" si="44"/>
        <v/>
      </c>
    </row>
    <row r="152" spans="7:16" x14ac:dyDescent="0.25">
      <c r="G152">
        <v>1</v>
      </c>
      <c r="H152" t="str">
        <f t="shared" si="39"/>
        <v>001</v>
      </c>
      <c r="J152" s="14" t="str">
        <f t="shared" si="43"/>
        <v>001</v>
      </c>
      <c r="K152" s="9" t="str">
        <f>IF(OR(J152=J151,BITWISE_XOR(J151,J152)=VALUE("111")),"",LEFT(J152,2))</f>
        <v/>
      </c>
      <c r="L152" s="9" t="str">
        <f>IF(OR(J152=J151,BITWISE_XOR(J151,J152)=VALUE("111")),"",RIGHT(J152,1))</f>
        <v/>
      </c>
      <c r="M152" s="9" t="b">
        <f>BITWISE_XOR(BIN2DEC(J151),7)=BIN2DEC(J152)</f>
        <v>0</v>
      </c>
      <c r="N152" s="9">
        <f t="shared" si="41"/>
        <v>3</v>
      </c>
      <c r="O152" s="9" t="str">
        <f t="shared" si="42"/>
        <v>000010</v>
      </c>
      <c r="P152" s="15" t="str">
        <f t="shared" si="44"/>
        <v/>
      </c>
    </row>
    <row r="153" spans="7:16" x14ac:dyDescent="0.25">
      <c r="G153">
        <v>3</v>
      </c>
      <c r="H153" t="str">
        <f t="shared" si="39"/>
        <v>011</v>
      </c>
      <c r="J153" s="14" t="str">
        <f t="shared" si="43"/>
        <v>011</v>
      </c>
      <c r="K153" s="9" t="str">
        <f>IF(OR(J153=J152,BITWISE_XOR(J152,J153)=VALUE("111")),"",LEFT(J153,2))</f>
        <v>01</v>
      </c>
      <c r="L153" s="9" t="str">
        <f>IF(OR(J153=J152,BITWISE_XOR(J152,J153)=VALUE("111")),"",RIGHT(J153,1))</f>
        <v>1</v>
      </c>
      <c r="M153" s="9" t="b">
        <f>BITWISE_XOR(BIN2DEC(J152),7)=BIN2DEC(J153)</f>
        <v>0</v>
      </c>
      <c r="N153" s="9">
        <f t="shared" si="41"/>
        <v>0</v>
      </c>
      <c r="O153" s="9" t="str">
        <f t="shared" si="42"/>
        <v>01000010</v>
      </c>
      <c r="P153" s="15">
        <f t="shared" si="44"/>
        <v>66</v>
      </c>
    </row>
    <row r="154" spans="7:16" x14ac:dyDescent="0.25">
      <c r="G154">
        <v>3</v>
      </c>
      <c r="H154" t="str">
        <f t="shared" si="39"/>
        <v>011</v>
      </c>
      <c r="J154" s="14" t="str">
        <f t="shared" si="43"/>
        <v>011</v>
      </c>
      <c r="K154" s="9" t="str">
        <f>IF(OR(J154=J153,BITWISE_XOR(J153,J154)=VALUE("111")),"",LEFT(J154,2))</f>
        <v/>
      </c>
      <c r="L154" s="9" t="str">
        <f>IF(OR(J154=J153,BITWISE_XOR(J153,J154)=VALUE("111")),"",RIGHT(J154,1))</f>
        <v/>
      </c>
      <c r="M154" s="9" t="b">
        <f>BITWISE_XOR(BIN2DEC(J153),7)=BIN2DEC(J154)</f>
        <v>0</v>
      </c>
      <c r="N154" s="9">
        <f t="shared" si="41"/>
        <v>0</v>
      </c>
      <c r="O154" s="9" t="str">
        <f t="shared" si="42"/>
        <v/>
      </c>
      <c r="P154" s="15" t="str">
        <f t="shared" si="44"/>
        <v/>
      </c>
    </row>
    <row r="155" spans="7:16" x14ac:dyDescent="0.25">
      <c r="G155">
        <v>4</v>
      </c>
      <c r="H155" t="str">
        <f t="shared" si="39"/>
        <v>100</v>
      </c>
      <c r="J155" s="14" t="str">
        <f t="shared" si="43"/>
        <v>100</v>
      </c>
      <c r="K155" s="9" t="str">
        <f>IF(OR(J155=J154,BITWISE_XOR(J154,J155)=VALUE("111")),"",LEFT(J155,2))</f>
        <v/>
      </c>
      <c r="L155" s="9" t="str">
        <f>IF(OR(J155=J154,BITWISE_XOR(J154,J155)=VALUE("111")),"",RIGHT(J155,1))</f>
        <v/>
      </c>
      <c r="M155" s="9" t="b">
        <f>BITWISE_XOR(BIN2DEC(J154),7)=BIN2DEC(J155)</f>
        <v>1</v>
      </c>
      <c r="N155" s="9">
        <f t="shared" si="41"/>
        <v>0</v>
      </c>
      <c r="O155" s="9" t="str">
        <f t="shared" si="42"/>
        <v/>
      </c>
      <c r="P155" s="15" t="str">
        <f t="shared" si="44"/>
        <v/>
      </c>
    </row>
    <row r="156" spans="7:16" x14ac:dyDescent="0.25">
      <c r="G156">
        <v>4</v>
      </c>
      <c r="H156" t="str">
        <f t="shared" si="39"/>
        <v>100</v>
      </c>
      <c r="J156" s="14" t="str">
        <f t="shared" si="43"/>
        <v>100</v>
      </c>
      <c r="K156" s="9" t="str">
        <f>IF(OR(J156=J155,BITWISE_XOR(J155,J156)=VALUE("111")),"",LEFT(J156,2))</f>
        <v/>
      </c>
      <c r="L156" s="9" t="str">
        <f>IF(OR(J156=J155,BITWISE_XOR(J155,J156)=VALUE("111")),"",RIGHT(J156,1))</f>
        <v/>
      </c>
      <c r="M156" s="9" t="b">
        <f>BITWISE_XOR(BIN2DEC(J155),7)=BIN2DEC(J156)</f>
        <v>0</v>
      </c>
      <c r="N156" s="9">
        <f t="shared" si="41"/>
        <v>0</v>
      </c>
      <c r="O156" s="9" t="str">
        <f t="shared" si="42"/>
        <v/>
      </c>
      <c r="P156" s="15" t="str">
        <f t="shared" si="44"/>
        <v/>
      </c>
    </row>
    <row r="157" spans="7:16" x14ac:dyDescent="0.25">
      <c r="G157">
        <v>4</v>
      </c>
      <c r="H157" t="str">
        <f t="shared" si="39"/>
        <v>100</v>
      </c>
      <c r="J157" s="16" t="str">
        <f t="shared" si="43"/>
        <v>100</v>
      </c>
      <c r="K157" s="17" t="str">
        <f>IF(OR(J157=J156,BITWISE_XOR(J156,J157)=VALUE("111")),"",LEFT(J157,2))</f>
        <v/>
      </c>
      <c r="L157" s="17" t="str">
        <f>IF(OR(J157=J156,BITWISE_XOR(J156,J157)=VALUE("111")),"",RIGHT(J157,1))</f>
        <v/>
      </c>
      <c r="M157" s="17" t="b">
        <f>BITWISE_XOR(BIN2DEC(J156),7)=BIN2DEC(J157)</f>
        <v>0</v>
      </c>
      <c r="N157" s="17">
        <f t="shared" si="41"/>
        <v>0</v>
      </c>
      <c r="O157" s="17" t="str">
        <f t="shared" ref="O157" si="45">IF(N157=N156,IF(N157=0,K157,O156),CONCATENATE(K157,O156))</f>
        <v/>
      </c>
      <c r="P157" s="18" t="str">
        <f t="shared" si="44"/>
        <v/>
      </c>
    </row>
    <row r="158" spans="7:16" x14ac:dyDescent="0.25">
      <c r="J158" s="9"/>
      <c r="K158" s="9"/>
      <c r="L158" s="9"/>
      <c r="M158" s="9"/>
      <c r="N158" s="9"/>
      <c r="O158" s="9"/>
    </row>
    <row r="159" spans="7:16" x14ac:dyDescent="0.25">
      <c r="J159" s="9"/>
      <c r="K159" s="9"/>
      <c r="L159" s="9"/>
      <c r="M159" s="9"/>
      <c r="N159" s="9"/>
      <c r="O159" s="9"/>
    </row>
    <row r="160" spans="7:16" x14ac:dyDescent="0.25">
      <c r="J160" s="9"/>
      <c r="K160" s="9"/>
      <c r="L160" s="9"/>
      <c r="M160" s="9"/>
      <c r="N160" s="9"/>
      <c r="O160" s="9"/>
    </row>
    <row r="161" spans="10:15" x14ac:dyDescent="0.25">
      <c r="J161" s="9"/>
      <c r="K161" s="9"/>
      <c r="L161" s="9"/>
      <c r="M161" s="9"/>
      <c r="N161" s="9"/>
      <c r="O161" s="9"/>
    </row>
    <row r="162" spans="10:15" x14ac:dyDescent="0.25">
      <c r="J162" s="9"/>
      <c r="K162" s="9"/>
      <c r="L162" s="9"/>
      <c r="M162" s="9"/>
      <c r="N162" s="9"/>
      <c r="O162" s="9"/>
    </row>
    <row r="163" spans="10:15" x14ac:dyDescent="0.25">
      <c r="J163" s="9"/>
      <c r="K163" s="9"/>
      <c r="L163" s="9"/>
      <c r="M163" s="9"/>
      <c r="N163" s="9"/>
      <c r="O163" s="9"/>
    </row>
    <row r="164" spans="10:15" x14ac:dyDescent="0.25">
      <c r="J164" s="9"/>
      <c r="K164" s="9"/>
      <c r="L164" s="9"/>
      <c r="M164" s="9"/>
      <c r="N164" s="9"/>
      <c r="O164" s="9"/>
    </row>
    <row r="165" spans="10:15" x14ac:dyDescent="0.25">
      <c r="J165" s="9"/>
      <c r="K165" s="9"/>
      <c r="L165" s="9"/>
      <c r="M165" s="9"/>
      <c r="N165" s="9"/>
      <c r="O165" s="9"/>
    </row>
    <row r="166" spans="10:15" x14ac:dyDescent="0.25">
      <c r="J166" s="9"/>
      <c r="K166" s="9"/>
      <c r="L166" s="9"/>
      <c r="M166" s="9"/>
      <c r="N166" s="9"/>
      <c r="O166" s="9"/>
    </row>
    <row r="167" spans="10:15" x14ac:dyDescent="0.25">
      <c r="J167" s="9"/>
      <c r="K167" s="9"/>
      <c r="L167" s="9"/>
      <c r="M167" s="9"/>
      <c r="N167" s="9"/>
      <c r="O167" s="9"/>
    </row>
    <row r="168" spans="10:15" x14ac:dyDescent="0.25">
      <c r="J168" s="9"/>
      <c r="K168" s="9"/>
      <c r="L168" s="9"/>
      <c r="M168" s="9"/>
      <c r="N168" s="9"/>
      <c r="O168" s="9"/>
    </row>
    <row r="169" spans="10:15" x14ac:dyDescent="0.25">
      <c r="J169" s="9"/>
      <c r="K169" s="9"/>
      <c r="L169" s="9"/>
      <c r="M169" s="9"/>
      <c r="N169" s="9"/>
      <c r="O169" s="9"/>
    </row>
    <row r="170" spans="10:15" x14ac:dyDescent="0.25">
      <c r="J170" s="9"/>
      <c r="K170" s="9"/>
      <c r="L170" s="9"/>
      <c r="M170" s="9"/>
      <c r="N170" s="9"/>
      <c r="O170" s="9"/>
    </row>
    <row r="171" spans="10:15" x14ac:dyDescent="0.25">
      <c r="J171" s="9"/>
      <c r="K171" s="9"/>
      <c r="L171" s="9"/>
      <c r="M171" s="9"/>
      <c r="N171" s="9"/>
      <c r="O171" s="9"/>
    </row>
    <row r="172" spans="10:15" x14ac:dyDescent="0.25">
      <c r="J172" s="9"/>
      <c r="K172" s="9"/>
      <c r="L172" s="9"/>
      <c r="M172" s="9"/>
      <c r="N172" s="9"/>
      <c r="O172" s="9"/>
    </row>
    <row r="173" spans="10:15" x14ac:dyDescent="0.25">
      <c r="J173" s="9"/>
      <c r="K173" s="9"/>
      <c r="L173" s="9"/>
      <c r="M173" s="9"/>
      <c r="N173" s="9"/>
      <c r="O173" s="9"/>
    </row>
    <row r="174" spans="10:15" x14ac:dyDescent="0.25">
      <c r="J174" s="9"/>
      <c r="K174" s="9"/>
      <c r="L174" s="9"/>
      <c r="M174" s="9"/>
      <c r="N174" s="9"/>
      <c r="O174" s="9"/>
    </row>
    <row r="175" spans="10:15" x14ac:dyDescent="0.25">
      <c r="J175" s="9"/>
      <c r="K175" s="9"/>
      <c r="L175" s="9"/>
      <c r="M175" s="9"/>
      <c r="N175" s="9"/>
      <c r="O175" s="9"/>
    </row>
    <row r="176" spans="10:15" x14ac:dyDescent="0.25">
      <c r="J176" s="9"/>
      <c r="K176" s="9"/>
      <c r="L176" s="9"/>
      <c r="M176" s="9"/>
      <c r="N176" s="9"/>
      <c r="O176" s="9"/>
    </row>
    <row r="177" spans="10:15" x14ac:dyDescent="0.25">
      <c r="J177" s="9"/>
      <c r="K177" s="9"/>
      <c r="L177" s="9"/>
      <c r="M177" s="9"/>
      <c r="N177" s="9"/>
      <c r="O177" s="9"/>
    </row>
    <row r="178" spans="10:15" x14ac:dyDescent="0.25">
      <c r="J178" s="9"/>
      <c r="K178" s="9"/>
      <c r="L178" s="9"/>
      <c r="M178" s="9"/>
      <c r="N178" s="9"/>
      <c r="O178" s="9"/>
    </row>
    <row r="179" spans="10:15" x14ac:dyDescent="0.25">
      <c r="J179" s="9"/>
      <c r="K179" s="9"/>
      <c r="L179" s="9"/>
      <c r="M179" s="9"/>
      <c r="N179" s="9"/>
      <c r="O179" s="9"/>
    </row>
    <row r="180" spans="10:15" x14ac:dyDescent="0.25">
      <c r="J180" s="9"/>
      <c r="K180" s="9"/>
      <c r="L180" s="9"/>
      <c r="M180" s="9"/>
      <c r="N180" s="9"/>
      <c r="O180" s="9"/>
    </row>
    <row r="181" spans="10:15" x14ac:dyDescent="0.25">
      <c r="J181" s="9"/>
      <c r="K181" s="9"/>
      <c r="L181" s="9"/>
      <c r="M181" s="9"/>
      <c r="N181" s="9"/>
      <c r="O181" s="9"/>
    </row>
    <row r="182" spans="10:15" x14ac:dyDescent="0.25">
      <c r="J182" s="9"/>
      <c r="K182" s="9"/>
      <c r="L182" s="9"/>
      <c r="M182" s="9"/>
      <c r="N182" s="9"/>
      <c r="O182" s="9"/>
    </row>
    <row r="183" spans="10:15" x14ac:dyDescent="0.25">
      <c r="J183" s="9"/>
      <c r="K183" s="9"/>
      <c r="L183" s="9"/>
      <c r="M183" s="9"/>
      <c r="N183" s="9"/>
      <c r="O183" s="9"/>
    </row>
    <row r="184" spans="10:15" x14ac:dyDescent="0.25">
      <c r="J184" s="9"/>
      <c r="K184" s="9"/>
      <c r="L184" s="9"/>
      <c r="M184" s="9"/>
      <c r="N184" s="9"/>
      <c r="O184" s="9"/>
    </row>
    <row r="185" spans="10:15" x14ac:dyDescent="0.25">
      <c r="J185" s="9"/>
      <c r="K185" s="9"/>
      <c r="L185" s="9"/>
      <c r="M185" s="9"/>
      <c r="N185" s="9"/>
      <c r="O185" s="9"/>
    </row>
    <row r="186" spans="10:15" x14ac:dyDescent="0.25">
      <c r="J186" s="9"/>
      <c r="K186" s="9"/>
      <c r="L186" s="9"/>
      <c r="M186" s="9"/>
      <c r="N186" s="9"/>
      <c r="O186" s="9"/>
    </row>
    <row r="187" spans="10:15" x14ac:dyDescent="0.25">
      <c r="J187" s="9"/>
      <c r="K187" s="9"/>
      <c r="L187" s="9"/>
      <c r="M187" s="9"/>
      <c r="N187" s="9"/>
      <c r="O187" s="9"/>
    </row>
    <row r="188" spans="10:15" x14ac:dyDescent="0.25">
      <c r="J188" s="9"/>
      <c r="K188" s="9"/>
      <c r="L188" s="9"/>
      <c r="M188" s="9"/>
      <c r="N188" s="9"/>
      <c r="O188" s="9"/>
    </row>
    <row r="189" spans="10:15" x14ac:dyDescent="0.25">
      <c r="J189" s="9"/>
      <c r="K189" s="9"/>
      <c r="L189" s="9"/>
      <c r="M189" s="9"/>
      <c r="N189" s="9"/>
      <c r="O189" s="9"/>
    </row>
    <row r="190" spans="10:15" x14ac:dyDescent="0.25">
      <c r="J190" s="9"/>
      <c r="K190" s="9"/>
      <c r="L190" s="9"/>
      <c r="M190" s="9"/>
      <c r="N190" s="9"/>
      <c r="O190" s="9"/>
    </row>
    <row r="191" spans="10:15" x14ac:dyDescent="0.25">
      <c r="J191" s="9"/>
      <c r="K191" s="9"/>
      <c r="L191" s="9"/>
      <c r="M191" s="9"/>
      <c r="N191" s="9"/>
      <c r="O191" s="9"/>
    </row>
    <row r="192" spans="10:15" x14ac:dyDescent="0.25">
      <c r="J192" s="9"/>
      <c r="K192" s="9"/>
      <c r="L192" s="9"/>
      <c r="M192" s="9"/>
      <c r="N192" s="9"/>
      <c r="O192" s="9"/>
    </row>
    <row r="193" spans="10:15" x14ac:dyDescent="0.25">
      <c r="J193" s="9"/>
      <c r="K193" s="9"/>
      <c r="L193" s="9"/>
      <c r="M193" s="9"/>
      <c r="N193" s="9"/>
      <c r="O193" s="9"/>
    </row>
    <row r="194" spans="10:15" x14ac:dyDescent="0.25">
      <c r="J194" s="9"/>
      <c r="K194" s="9"/>
      <c r="L194" s="9"/>
      <c r="M194" s="9"/>
      <c r="N194" s="9"/>
      <c r="O194" s="9"/>
    </row>
    <row r="195" spans="10:15" x14ac:dyDescent="0.25">
      <c r="J195" s="9"/>
      <c r="K195" s="9"/>
      <c r="L195" s="9"/>
      <c r="M195" s="9"/>
      <c r="N195" s="9"/>
      <c r="O195" s="9"/>
    </row>
    <row r="196" spans="10:15" x14ac:dyDescent="0.25">
      <c r="J196" s="9"/>
      <c r="K196" s="9"/>
      <c r="L196" s="9"/>
      <c r="M196" s="9"/>
      <c r="N196" s="9"/>
      <c r="O196" s="9"/>
    </row>
    <row r="197" spans="10:15" x14ac:dyDescent="0.25">
      <c r="J197" s="9"/>
      <c r="K197" s="9"/>
      <c r="L197" s="9"/>
      <c r="M197" s="9"/>
      <c r="N197" s="9"/>
      <c r="O197" s="9"/>
    </row>
    <row r="198" spans="10:15" x14ac:dyDescent="0.25">
      <c r="J198" s="9"/>
      <c r="K198" s="9"/>
      <c r="L198" s="9"/>
      <c r="M198" s="9"/>
      <c r="N198" s="9"/>
      <c r="O198" s="9"/>
    </row>
    <row r="199" spans="10:15" x14ac:dyDescent="0.25">
      <c r="J199" s="9"/>
      <c r="K199" s="9"/>
      <c r="L199" s="9"/>
      <c r="M199" s="9"/>
      <c r="N199" s="9"/>
      <c r="O199" s="9"/>
    </row>
    <row r="200" spans="10:15" x14ac:dyDescent="0.25">
      <c r="J200" s="9"/>
      <c r="K200" s="9"/>
      <c r="L200" s="9"/>
      <c r="M200" s="9"/>
      <c r="N200" s="9"/>
      <c r="O200" s="9"/>
    </row>
    <row r="201" spans="10:15" x14ac:dyDescent="0.25">
      <c r="J201" s="9"/>
      <c r="K201" s="9"/>
      <c r="L201" s="9"/>
      <c r="M201" s="9"/>
      <c r="N201" s="9"/>
      <c r="O201" s="9"/>
    </row>
    <row r="202" spans="10:15" x14ac:dyDescent="0.25">
      <c r="J202" s="9"/>
      <c r="K202" s="9"/>
      <c r="L202" s="9"/>
      <c r="M202" s="9"/>
      <c r="N202" s="9"/>
      <c r="O202" s="9"/>
    </row>
    <row r="203" spans="10:15" x14ac:dyDescent="0.25">
      <c r="J203" s="9"/>
      <c r="K203" s="9"/>
      <c r="L203" s="9"/>
      <c r="M203" s="9"/>
      <c r="N203" s="9"/>
      <c r="O203" s="9"/>
    </row>
    <row r="204" spans="10:15" x14ac:dyDescent="0.25">
      <c r="J204" s="9"/>
      <c r="K204" s="9"/>
      <c r="L204" s="9"/>
      <c r="M204" s="9"/>
      <c r="N204" s="9"/>
      <c r="O204" s="9"/>
    </row>
    <row r="205" spans="10:15" x14ac:dyDescent="0.25">
      <c r="J205" s="9"/>
      <c r="K205" s="9"/>
      <c r="L205" s="9"/>
      <c r="M205" s="9"/>
      <c r="N205" s="9"/>
      <c r="O205" s="9"/>
    </row>
    <row r="206" spans="10:15" x14ac:dyDescent="0.25">
      <c r="J206" s="9"/>
      <c r="K206" s="9"/>
      <c r="L206" s="9"/>
      <c r="M206" s="9"/>
      <c r="N206" s="9"/>
      <c r="O206" s="9"/>
    </row>
    <row r="207" spans="10:15" x14ac:dyDescent="0.25">
      <c r="J207" s="9"/>
      <c r="K207" s="9"/>
      <c r="L207" s="9"/>
      <c r="M207" s="9"/>
      <c r="N207" s="9"/>
      <c r="O207" s="9"/>
    </row>
    <row r="208" spans="10:15" x14ac:dyDescent="0.25">
      <c r="J208" s="9"/>
      <c r="K208" s="9"/>
      <c r="L208" s="9"/>
      <c r="M208" s="9"/>
      <c r="N208" s="9"/>
      <c r="O208" s="9"/>
    </row>
    <row r="209" spans="10:15" x14ac:dyDescent="0.25">
      <c r="J209" s="9"/>
      <c r="K209" s="9"/>
      <c r="L209" s="9"/>
      <c r="M209" s="9"/>
      <c r="N209" s="9"/>
      <c r="O209" s="9"/>
    </row>
    <row r="210" spans="10:15" x14ac:dyDescent="0.25">
      <c r="J210" s="9"/>
      <c r="K210" s="9"/>
      <c r="L210" s="9"/>
      <c r="M210" s="9"/>
      <c r="N210" s="9"/>
      <c r="O210" s="9"/>
    </row>
    <row r="211" spans="10:15" x14ac:dyDescent="0.25">
      <c r="J211" s="9"/>
      <c r="K211" s="9"/>
      <c r="L211" s="9"/>
      <c r="M211" s="9"/>
      <c r="N211" s="9"/>
      <c r="O211" s="9"/>
    </row>
    <row r="212" spans="10:15" x14ac:dyDescent="0.25">
      <c r="J212" s="9"/>
      <c r="K212" s="9"/>
      <c r="L212" s="9"/>
      <c r="M212" s="9"/>
      <c r="N212" s="9"/>
      <c r="O212" s="9"/>
    </row>
    <row r="213" spans="10:15" x14ac:dyDescent="0.25">
      <c r="J213" s="9"/>
      <c r="K213" s="9"/>
      <c r="L213" s="9"/>
      <c r="M213" s="9"/>
      <c r="N213" s="9"/>
      <c r="O213" s="9"/>
    </row>
    <row r="214" spans="10:15" x14ac:dyDescent="0.25">
      <c r="J214" s="9"/>
      <c r="K214" s="9"/>
      <c r="L214" s="9"/>
      <c r="M214" s="9"/>
      <c r="N214" s="9"/>
      <c r="O214" s="9"/>
    </row>
    <row r="215" spans="10:15" x14ac:dyDescent="0.25">
      <c r="J215" s="9"/>
      <c r="K215" s="9"/>
      <c r="L215" s="9"/>
      <c r="M215" s="9"/>
      <c r="N215" s="9"/>
      <c r="O215" s="9"/>
    </row>
    <row r="216" spans="10:15" x14ac:dyDescent="0.25">
      <c r="J216" s="9"/>
      <c r="K216" s="9"/>
      <c r="L216" s="9"/>
      <c r="M216" s="9"/>
      <c r="N216" s="9"/>
      <c r="O216" s="9"/>
    </row>
    <row r="217" spans="10:15" x14ac:dyDescent="0.25">
      <c r="J217" s="9"/>
      <c r="K217" s="9"/>
      <c r="L217" s="9"/>
      <c r="M217" s="9"/>
      <c r="N217" s="9"/>
      <c r="O217" s="9"/>
    </row>
    <row r="218" spans="10:15" x14ac:dyDescent="0.25">
      <c r="J218" s="9"/>
      <c r="K218" s="9"/>
      <c r="L218" s="9"/>
      <c r="M218" s="9"/>
      <c r="N218" s="9"/>
      <c r="O218" s="9"/>
    </row>
    <row r="219" spans="10:15" x14ac:dyDescent="0.25">
      <c r="J219" s="9"/>
      <c r="K219" s="9"/>
      <c r="L219" s="9"/>
      <c r="M219" s="9"/>
      <c r="N219" s="9"/>
      <c r="O219" s="9"/>
    </row>
    <row r="220" spans="10:15" x14ac:dyDescent="0.25">
      <c r="J220" s="9"/>
      <c r="K220" s="9"/>
      <c r="L220" s="9"/>
      <c r="M220" s="9"/>
      <c r="N220" s="9"/>
      <c r="O220" s="9"/>
    </row>
    <row r="221" spans="10:15" x14ac:dyDescent="0.25">
      <c r="J221" s="9"/>
      <c r="K221" s="9"/>
      <c r="L221" s="9"/>
      <c r="M221" s="9"/>
      <c r="N221" s="9"/>
      <c r="O221" s="9"/>
    </row>
    <row r="222" spans="10:15" x14ac:dyDescent="0.25">
      <c r="J222" s="9"/>
      <c r="K222" s="9"/>
      <c r="L222" s="9"/>
      <c r="M222" s="9"/>
      <c r="N222" s="9"/>
      <c r="O222" s="9"/>
    </row>
    <row r="223" spans="10:15" x14ac:dyDescent="0.25">
      <c r="J223" s="9"/>
      <c r="K223" s="9"/>
      <c r="L223" s="9"/>
      <c r="M223" s="9"/>
      <c r="N223" s="9"/>
      <c r="O223" s="9"/>
    </row>
    <row r="224" spans="10:15" x14ac:dyDescent="0.25">
      <c r="J224" s="9"/>
      <c r="K224" s="9"/>
      <c r="L224" s="9"/>
      <c r="M224" s="9"/>
      <c r="N224" s="9"/>
      <c r="O224" s="9"/>
    </row>
    <row r="225" spans="10:15" x14ac:dyDescent="0.25">
      <c r="J225" s="9"/>
      <c r="K225" s="9"/>
      <c r="L225" s="9"/>
      <c r="M225" s="9"/>
      <c r="N225" s="9"/>
      <c r="O225" s="9"/>
    </row>
    <row r="226" spans="10:15" x14ac:dyDescent="0.25">
      <c r="J226" s="9"/>
      <c r="K226" s="9"/>
      <c r="L226" s="9"/>
      <c r="M226" s="9"/>
      <c r="N226" s="9"/>
      <c r="O226" s="9"/>
    </row>
    <row r="227" spans="10:15" x14ac:dyDescent="0.25">
      <c r="J227" s="9"/>
      <c r="K227" s="9"/>
      <c r="L227" s="9"/>
      <c r="M227" s="9"/>
      <c r="N227" s="9"/>
      <c r="O227" s="9"/>
    </row>
    <row r="228" spans="10:15" x14ac:dyDescent="0.25">
      <c r="J228" s="9"/>
      <c r="K228" s="9"/>
      <c r="L228" s="9"/>
      <c r="M228" s="9"/>
      <c r="N228" s="9"/>
      <c r="O228" s="9"/>
    </row>
    <row r="229" spans="10:15" x14ac:dyDescent="0.25">
      <c r="J229" s="9"/>
      <c r="K229" s="9"/>
      <c r="L229" s="9"/>
      <c r="M229" s="9"/>
      <c r="N229" s="9"/>
      <c r="O229" s="9"/>
    </row>
    <row r="230" spans="10:15" x14ac:dyDescent="0.25">
      <c r="J230" s="9"/>
      <c r="K230" s="9"/>
      <c r="L230" s="9"/>
      <c r="M230" s="9"/>
      <c r="N230" s="9"/>
      <c r="O230" s="9"/>
    </row>
    <row r="231" spans="10:15" x14ac:dyDescent="0.25">
      <c r="J231" s="9"/>
      <c r="K231" s="9"/>
      <c r="L231" s="9"/>
      <c r="M231" s="9"/>
      <c r="N231" s="9"/>
      <c r="O231" s="9"/>
    </row>
    <row r="232" spans="10:15" x14ac:dyDescent="0.25">
      <c r="J232" s="9"/>
      <c r="K232" s="9"/>
      <c r="L232" s="9"/>
      <c r="M232" s="9"/>
      <c r="N232" s="9"/>
      <c r="O232" s="9"/>
    </row>
    <row r="233" spans="10:15" x14ac:dyDescent="0.25">
      <c r="J233" s="9"/>
      <c r="K233" s="9"/>
      <c r="L233" s="9"/>
      <c r="M233" s="9"/>
      <c r="N233" s="9"/>
      <c r="O233" s="9"/>
    </row>
    <row r="234" spans="10:15" x14ac:dyDescent="0.25">
      <c r="J234" s="9"/>
      <c r="K234" s="9"/>
      <c r="L234" s="9"/>
      <c r="M234" s="9"/>
      <c r="N234" s="9"/>
      <c r="O234" s="9"/>
    </row>
    <row r="235" spans="10:15" x14ac:dyDescent="0.25">
      <c r="J235" s="9"/>
      <c r="K235" s="9"/>
      <c r="L235" s="9"/>
      <c r="M235" s="9"/>
      <c r="N235" s="9"/>
      <c r="O235" s="9"/>
    </row>
    <row r="236" spans="10:15" x14ac:dyDescent="0.25">
      <c r="J236" s="9"/>
      <c r="K236" s="9"/>
      <c r="L236" s="9"/>
      <c r="M236" s="9"/>
      <c r="N236" s="9"/>
      <c r="O236" s="9"/>
    </row>
    <row r="237" spans="10:15" x14ac:dyDescent="0.25">
      <c r="J237" s="9"/>
      <c r="K237" s="9"/>
      <c r="L237" s="9"/>
      <c r="M237" s="9"/>
      <c r="N237" s="9"/>
      <c r="O237" s="9"/>
    </row>
    <row r="238" spans="10:15" x14ac:dyDescent="0.25">
      <c r="J238" s="9"/>
      <c r="K238" s="9"/>
      <c r="L238" s="9"/>
      <c r="M238" s="9"/>
      <c r="N238" s="9"/>
      <c r="O238" s="9"/>
    </row>
    <row r="239" spans="10:15" x14ac:dyDescent="0.25">
      <c r="J239" s="9"/>
      <c r="K239" s="9"/>
      <c r="L239" s="9"/>
      <c r="M239" s="9"/>
      <c r="N239" s="9"/>
      <c r="O239" s="9"/>
    </row>
    <row r="240" spans="10:15" x14ac:dyDescent="0.25">
      <c r="J240" s="9"/>
      <c r="K240" s="9"/>
      <c r="L240" s="9"/>
      <c r="M240" s="9"/>
      <c r="N240" s="9"/>
      <c r="O240" s="9"/>
    </row>
    <row r="241" spans="10:15" x14ac:dyDescent="0.25">
      <c r="J241" s="9"/>
      <c r="K241" s="9"/>
      <c r="L241" s="9"/>
      <c r="M241" s="9"/>
      <c r="N241" s="9"/>
      <c r="O241" s="9"/>
    </row>
    <row r="242" spans="10:15" x14ac:dyDescent="0.25">
      <c r="J242" s="9"/>
      <c r="K242" s="9"/>
      <c r="L242" s="9"/>
      <c r="M242" s="9"/>
      <c r="N242" s="9"/>
      <c r="O242" s="9"/>
    </row>
    <row r="243" spans="10:15" x14ac:dyDescent="0.25">
      <c r="J243" s="9"/>
      <c r="K243" s="9"/>
      <c r="L243" s="9"/>
      <c r="M243" s="9"/>
      <c r="N243" s="9"/>
      <c r="O243" s="9"/>
    </row>
    <row r="244" spans="10:15" x14ac:dyDescent="0.25">
      <c r="J244" s="9"/>
      <c r="K244" s="9"/>
      <c r="L244" s="9"/>
      <c r="M244" s="9"/>
      <c r="N244" s="9"/>
      <c r="O244" s="9"/>
    </row>
    <row r="245" spans="10:15" x14ac:dyDescent="0.25">
      <c r="J245" s="9"/>
      <c r="K245" s="9"/>
      <c r="L245" s="9"/>
      <c r="M245" s="9"/>
      <c r="N245" s="9"/>
      <c r="O245" s="9"/>
    </row>
    <row r="246" spans="10:15" x14ac:dyDescent="0.25">
      <c r="J246" s="9"/>
      <c r="K246" s="9"/>
      <c r="L246" s="9"/>
      <c r="M246" s="9"/>
      <c r="N246" s="9"/>
      <c r="O246" s="9"/>
    </row>
    <row r="247" spans="10:15" x14ac:dyDescent="0.25">
      <c r="J247" s="9"/>
      <c r="K247" s="9"/>
      <c r="L247" s="9"/>
      <c r="M247" s="9"/>
      <c r="N247" s="9"/>
      <c r="O247" s="9"/>
    </row>
    <row r="248" spans="10:15" x14ac:dyDescent="0.25">
      <c r="J248" s="9"/>
      <c r="K248" s="9"/>
      <c r="L248" s="9"/>
      <c r="M248" s="9"/>
      <c r="N248" s="9"/>
      <c r="O248" s="9"/>
    </row>
    <row r="249" spans="10:15" x14ac:dyDescent="0.25">
      <c r="J249" s="9"/>
      <c r="K249" s="9"/>
      <c r="L249" s="9"/>
      <c r="M249" s="9"/>
      <c r="N249" s="9"/>
      <c r="O249" s="9"/>
    </row>
    <row r="250" spans="10:15" x14ac:dyDescent="0.25">
      <c r="J250" s="9"/>
      <c r="K250" s="9"/>
      <c r="L250" s="9"/>
      <c r="M250" s="9"/>
      <c r="N250" s="9"/>
      <c r="O250" s="9"/>
    </row>
    <row r="251" spans="10:15" x14ac:dyDescent="0.25">
      <c r="J251" s="9"/>
      <c r="K251" s="9"/>
      <c r="L251" s="9"/>
      <c r="M251" s="9"/>
      <c r="N251" s="9"/>
      <c r="O251" s="9"/>
    </row>
    <row r="252" spans="10:15" x14ac:dyDescent="0.25">
      <c r="J252" s="9"/>
      <c r="K252" s="9"/>
      <c r="L252" s="9"/>
      <c r="M252" s="9"/>
      <c r="N252" s="9"/>
      <c r="O252" s="9"/>
    </row>
    <row r="253" spans="10:15" x14ac:dyDescent="0.25">
      <c r="J253" s="9"/>
      <c r="K253" s="9"/>
      <c r="L253" s="9"/>
      <c r="M253" s="9"/>
      <c r="N253" s="9"/>
      <c r="O253" s="9"/>
    </row>
    <row r="254" spans="10:15" x14ac:dyDescent="0.25">
      <c r="J254" s="9"/>
      <c r="K254" s="9"/>
      <c r="L254" s="9"/>
      <c r="M254" s="9"/>
      <c r="N254" s="9"/>
      <c r="O254" s="9"/>
    </row>
    <row r="255" spans="10:15" x14ac:dyDescent="0.25">
      <c r="J255" s="9"/>
      <c r="K255" s="9"/>
      <c r="L255" s="9"/>
      <c r="M255" s="9"/>
      <c r="N255" s="9"/>
      <c r="O255" s="9"/>
    </row>
    <row r="256" spans="10:15" x14ac:dyDescent="0.25">
      <c r="J256" s="9"/>
      <c r="K256" s="9"/>
      <c r="L256" s="9"/>
      <c r="M256" s="9"/>
      <c r="N256" s="9"/>
      <c r="O256" s="9"/>
    </row>
    <row r="257" spans="10:15" x14ac:dyDescent="0.25">
      <c r="J257" s="9"/>
      <c r="K257" s="9"/>
      <c r="L257" s="9"/>
      <c r="M257" s="9"/>
      <c r="N257" s="9"/>
      <c r="O257" s="9"/>
    </row>
    <row r="258" spans="10:15" x14ac:dyDescent="0.25">
      <c r="J258" s="9"/>
      <c r="K258" s="9"/>
      <c r="L258" s="9"/>
      <c r="M258" s="9"/>
      <c r="N258" s="9"/>
      <c r="O258" s="9"/>
    </row>
    <row r="259" spans="10:15" x14ac:dyDescent="0.25">
      <c r="J259" s="9"/>
      <c r="K259" s="9"/>
      <c r="L259" s="9"/>
      <c r="M259" s="9"/>
      <c r="N259" s="9"/>
      <c r="O259" s="9"/>
    </row>
    <row r="260" spans="10:15" x14ac:dyDescent="0.25">
      <c r="J260" s="9"/>
      <c r="K260" s="9"/>
      <c r="L260" s="9"/>
      <c r="M260" s="9"/>
      <c r="N260" s="9"/>
      <c r="O260" s="9"/>
    </row>
    <row r="261" spans="10:15" x14ac:dyDescent="0.25">
      <c r="J261" s="9"/>
      <c r="K261" s="9"/>
      <c r="L261" s="9"/>
      <c r="M261" s="9"/>
      <c r="N261" s="9"/>
      <c r="O261" s="9"/>
    </row>
    <row r="262" spans="10:15" x14ac:dyDescent="0.25">
      <c r="J262" s="9"/>
      <c r="K262" s="9"/>
      <c r="L262" s="9"/>
      <c r="M262" s="9"/>
      <c r="N262" s="9"/>
      <c r="O262" s="9"/>
    </row>
    <row r="263" spans="10:15" x14ac:dyDescent="0.25">
      <c r="J263" s="9"/>
      <c r="K263" s="9"/>
      <c r="L263" s="9"/>
      <c r="M263" s="9"/>
      <c r="N263" s="9"/>
      <c r="O263" s="9"/>
    </row>
    <row r="264" spans="10:15" x14ac:dyDescent="0.25">
      <c r="J264" s="9"/>
      <c r="K264" s="9"/>
      <c r="L264" s="9"/>
      <c r="M264" s="9"/>
      <c r="N264" s="9"/>
      <c r="O264" s="9"/>
    </row>
    <row r="265" spans="10:15" x14ac:dyDescent="0.25">
      <c r="J265" s="9"/>
      <c r="K265" s="9"/>
      <c r="L265" s="9"/>
      <c r="M265" s="9"/>
      <c r="N265" s="9"/>
      <c r="O265" s="9"/>
    </row>
    <row r="266" spans="10:15" x14ac:dyDescent="0.25">
      <c r="J266" s="9"/>
      <c r="K266" s="9"/>
      <c r="L266" s="9"/>
      <c r="M266" s="9"/>
      <c r="N266" s="9"/>
      <c r="O266" s="9"/>
    </row>
    <row r="267" spans="10:15" x14ac:dyDescent="0.25">
      <c r="J267" s="9"/>
      <c r="K267" s="9"/>
      <c r="L267" s="9"/>
      <c r="M267" s="9"/>
      <c r="N267" s="9"/>
      <c r="O267" s="9"/>
    </row>
    <row r="268" spans="10:15" x14ac:dyDescent="0.25">
      <c r="J268" s="9"/>
      <c r="K268" s="9"/>
      <c r="L268" s="9"/>
      <c r="M268" s="9"/>
      <c r="N268" s="9"/>
      <c r="O268" s="9"/>
    </row>
    <row r="269" spans="10:15" x14ac:dyDescent="0.25">
      <c r="J269" s="9"/>
      <c r="K269" s="9"/>
      <c r="L269" s="9"/>
      <c r="M269" s="9"/>
      <c r="N269" s="9"/>
      <c r="O269" s="9"/>
    </row>
    <row r="270" spans="10:15" x14ac:dyDescent="0.25">
      <c r="J270" s="9"/>
      <c r="K270" s="9"/>
      <c r="L270" s="9"/>
      <c r="M270" s="9"/>
      <c r="N270" s="9"/>
      <c r="O270" s="9"/>
    </row>
    <row r="271" spans="10:15" x14ac:dyDescent="0.25">
      <c r="J271" s="9"/>
      <c r="K271" s="9"/>
      <c r="L271" s="9"/>
      <c r="M271" s="9"/>
      <c r="N271" s="9"/>
      <c r="O271" s="9"/>
    </row>
    <row r="272" spans="10:15" x14ac:dyDescent="0.25">
      <c r="J272" s="9"/>
      <c r="K272" s="9"/>
      <c r="L272" s="9"/>
      <c r="M272" s="9"/>
      <c r="N272" s="9"/>
      <c r="O272" s="9"/>
    </row>
    <row r="273" spans="10:15" x14ac:dyDescent="0.25">
      <c r="J273" s="9"/>
      <c r="K273" s="9"/>
      <c r="L273" s="9"/>
      <c r="M273" s="9"/>
      <c r="N273" s="9"/>
      <c r="O273" s="9"/>
    </row>
    <row r="274" spans="10:15" x14ac:dyDescent="0.25">
      <c r="J274" s="9"/>
      <c r="K274" s="9"/>
      <c r="L274" s="9"/>
      <c r="M274" s="9"/>
      <c r="N274" s="9"/>
      <c r="O274" s="9"/>
    </row>
    <row r="275" spans="10:15" x14ac:dyDescent="0.25">
      <c r="J275" s="9"/>
      <c r="K275" s="9"/>
      <c r="L275" s="9"/>
      <c r="M275" s="9"/>
      <c r="N275" s="9"/>
      <c r="O275" s="9"/>
    </row>
    <row r="276" spans="10:15" x14ac:dyDescent="0.25">
      <c r="J276" s="9"/>
      <c r="K276" s="9"/>
      <c r="L276" s="9"/>
      <c r="M276" s="9"/>
      <c r="N276" s="9"/>
      <c r="O276" s="9"/>
    </row>
    <row r="277" spans="10:15" x14ac:dyDescent="0.25">
      <c r="J277" s="9"/>
      <c r="K277" s="9"/>
      <c r="L277" s="9"/>
      <c r="M277" s="9"/>
      <c r="N277" s="9"/>
      <c r="O277" s="9"/>
    </row>
    <row r="278" spans="10:15" x14ac:dyDescent="0.25">
      <c r="J278" s="9"/>
      <c r="K278" s="9"/>
      <c r="L278" s="9"/>
      <c r="M278" s="9"/>
      <c r="N278" s="9"/>
      <c r="O278" s="9"/>
    </row>
    <row r="279" spans="10:15" x14ac:dyDescent="0.25">
      <c r="J279" s="9"/>
      <c r="K279" s="9"/>
      <c r="L279" s="9"/>
      <c r="M279" s="9"/>
      <c r="N279" s="9"/>
      <c r="O279" s="9"/>
    </row>
    <row r="280" spans="10:15" x14ac:dyDescent="0.25">
      <c r="J280" s="9"/>
      <c r="K280" s="9"/>
      <c r="L280" s="9"/>
      <c r="M280" s="9"/>
      <c r="N280" s="9"/>
      <c r="O280" s="9"/>
    </row>
    <row r="281" spans="10:15" x14ac:dyDescent="0.25">
      <c r="J281" s="9"/>
      <c r="K281" s="9"/>
      <c r="L281" s="9"/>
      <c r="M281" s="9"/>
      <c r="N281" s="9"/>
      <c r="O281" s="9"/>
    </row>
    <row r="282" spans="10:15" x14ac:dyDescent="0.25">
      <c r="J282" s="9"/>
      <c r="K282" s="9"/>
      <c r="L282" s="9"/>
      <c r="M282" s="9"/>
      <c r="N282" s="9"/>
      <c r="O282" s="9"/>
    </row>
    <row r="283" spans="10:15" x14ac:dyDescent="0.25">
      <c r="J283" s="9"/>
      <c r="K283" s="9"/>
      <c r="L283" s="9"/>
      <c r="M283" s="9"/>
      <c r="N283" s="9"/>
      <c r="O283" s="9"/>
    </row>
    <row r="284" spans="10:15" x14ac:dyDescent="0.25">
      <c r="J284" s="9"/>
      <c r="K284" s="9"/>
      <c r="L284" s="9"/>
      <c r="M284" s="9"/>
      <c r="N284" s="9"/>
      <c r="O284" s="9"/>
    </row>
    <row r="285" spans="10:15" x14ac:dyDescent="0.25">
      <c r="J285" s="9"/>
      <c r="K285" s="9"/>
      <c r="L285" s="9"/>
      <c r="M285" s="9"/>
      <c r="N285" s="9"/>
      <c r="O285" s="9"/>
    </row>
    <row r="286" spans="10:15" x14ac:dyDescent="0.25">
      <c r="J286" s="9"/>
      <c r="K286" s="9"/>
      <c r="L286" s="9"/>
      <c r="M286" s="9"/>
      <c r="N286" s="9"/>
      <c r="O286" s="9"/>
    </row>
    <row r="287" spans="10:15" x14ac:dyDescent="0.25">
      <c r="J287" s="9"/>
      <c r="K287" s="9"/>
      <c r="L287" s="9"/>
      <c r="M287" s="9"/>
      <c r="N287" s="9"/>
      <c r="O287" s="9"/>
    </row>
    <row r="288" spans="10:15" x14ac:dyDescent="0.25">
      <c r="J288" s="9"/>
      <c r="K288" s="9"/>
      <c r="L288" s="9"/>
      <c r="M288" s="9"/>
      <c r="N288" s="9"/>
      <c r="O288" s="9"/>
    </row>
    <row r="289" spans="10:15" x14ac:dyDescent="0.25">
      <c r="J289" s="9"/>
      <c r="K289" s="9"/>
      <c r="L289" s="9"/>
      <c r="M289" s="9"/>
      <c r="N289" s="9"/>
      <c r="O289" s="9"/>
    </row>
    <row r="290" spans="10:15" x14ac:dyDescent="0.25">
      <c r="J290" s="9"/>
      <c r="K290" s="9"/>
      <c r="L290" s="9"/>
      <c r="M290" s="9"/>
      <c r="N290" s="9"/>
      <c r="O290" s="9"/>
    </row>
    <row r="291" spans="10:15" x14ac:dyDescent="0.25">
      <c r="J291" s="9"/>
      <c r="K291" s="9"/>
      <c r="L291" s="9"/>
      <c r="M291" s="9"/>
      <c r="N291" s="9"/>
      <c r="O291" s="9"/>
    </row>
    <row r="292" spans="10:15" x14ac:dyDescent="0.25">
      <c r="J292" s="9"/>
      <c r="K292" s="9"/>
      <c r="L292" s="9"/>
      <c r="M292" s="9"/>
      <c r="N292" s="9"/>
      <c r="O292" s="9"/>
    </row>
    <row r="293" spans="10:15" x14ac:dyDescent="0.25">
      <c r="J293" s="9"/>
      <c r="K293" s="9"/>
      <c r="L293" s="9"/>
      <c r="M293" s="9"/>
      <c r="N293" s="9"/>
      <c r="O293" s="9"/>
    </row>
    <row r="294" spans="10:15" x14ac:dyDescent="0.25">
      <c r="J294" s="9"/>
      <c r="K294" s="9"/>
      <c r="L294" s="9"/>
      <c r="M294" s="9"/>
      <c r="N294" s="9"/>
      <c r="O294" s="9"/>
    </row>
    <row r="295" spans="10:15" x14ac:dyDescent="0.25">
      <c r="J295" s="9"/>
      <c r="K295" s="9"/>
      <c r="L295" s="9"/>
      <c r="M295" s="9"/>
      <c r="N295" s="9"/>
      <c r="O295" s="9"/>
    </row>
    <row r="296" spans="10:15" x14ac:dyDescent="0.25">
      <c r="J296" s="9"/>
      <c r="K296" s="9"/>
      <c r="L296" s="9"/>
      <c r="M296" s="9"/>
      <c r="N296" s="9"/>
      <c r="O296" s="9"/>
    </row>
    <row r="297" spans="10:15" x14ac:dyDescent="0.25">
      <c r="J297" s="9"/>
      <c r="K297" s="9"/>
      <c r="L297" s="9"/>
      <c r="M297" s="9"/>
      <c r="N297" s="9"/>
      <c r="O297" s="9"/>
    </row>
    <row r="298" spans="10:15" x14ac:dyDescent="0.25">
      <c r="J298" s="9"/>
      <c r="K298" s="9"/>
      <c r="L298" s="9"/>
      <c r="M298" s="9"/>
      <c r="N298" s="9"/>
      <c r="O298" s="9"/>
    </row>
    <row r="299" spans="10:15" x14ac:dyDescent="0.25">
      <c r="J299" s="9"/>
      <c r="K299" s="9"/>
      <c r="L299" s="9"/>
      <c r="M299" s="9"/>
      <c r="N299" s="9"/>
      <c r="O299" s="9"/>
    </row>
    <row r="300" spans="10:15" x14ac:dyDescent="0.25">
      <c r="J300" s="9"/>
      <c r="K300" s="9"/>
      <c r="L300" s="9"/>
      <c r="M300" s="9"/>
      <c r="N300" s="9"/>
      <c r="O300" s="9"/>
    </row>
    <row r="301" spans="10:15" x14ac:dyDescent="0.25">
      <c r="J301" s="9"/>
      <c r="K301" s="9"/>
      <c r="L301" s="9"/>
      <c r="M301" s="9"/>
      <c r="N301" s="9"/>
      <c r="O301" s="9"/>
    </row>
    <row r="302" spans="10:15" x14ac:dyDescent="0.25">
      <c r="J302" s="9"/>
      <c r="K302" s="9"/>
      <c r="L302" s="9"/>
      <c r="M302" s="9"/>
      <c r="N302" s="9"/>
      <c r="O302" s="9"/>
    </row>
    <row r="303" spans="10:15" x14ac:dyDescent="0.25">
      <c r="J303" s="9"/>
      <c r="K303" s="9"/>
      <c r="L303" s="9"/>
      <c r="M303" s="9"/>
      <c r="N303" s="9"/>
      <c r="O303" s="9"/>
    </row>
    <row r="304" spans="10:15" x14ac:dyDescent="0.25">
      <c r="J304" s="9"/>
      <c r="K304" s="9"/>
      <c r="L304" s="9"/>
      <c r="M304" s="9"/>
      <c r="N304" s="9"/>
      <c r="O304" s="9"/>
    </row>
    <row r="305" spans="10:15" x14ac:dyDescent="0.25">
      <c r="J305" s="9"/>
      <c r="K305" s="9"/>
      <c r="L305" s="9"/>
      <c r="M305" s="9"/>
      <c r="N305" s="9"/>
      <c r="O305" s="9"/>
    </row>
    <row r="306" spans="10:15" x14ac:dyDescent="0.25">
      <c r="J306" s="9"/>
      <c r="K306" s="9"/>
      <c r="L306" s="9"/>
      <c r="M306" s="9"/>
      <c r="N306" s="9"/>
      <c r="O306" s="9"/>
    </row>
    <row r="307" spans="10:15" x14ac:dyDescent="0.25">
      <c r="J307" s="9"/>
      <c r="K307" s="9"/>
      <c r="L307" s="9"/>
      <c r="M307" s="9"/>
      <c r="N307" s="9"/>
      <c r="O307" s="9"/>
    </row>
    <row r="308" spans="10:15" x14ac:dyDescent="0.25">
      <c r="J308" s="9"/>
      <c r="K308" s="9"/>
      <c r="L308" s="9"/>
      <c r="M308" s="9"/>
      <c r="N308" s="9"/>
      <c r="O308" s="9"/>
    </row>
    <row r="309" spans="10:15" x14ac:dyDescent="0.25">
      <c r="J309" s="9"/>
      <c r="K309" s="9"/>
      <c r="L309" s="9"/>
      <c r="M309" s="9"/>
      <c r="N309" s="9"/>
      <c r="O309" s="9"/>
    </row>
    <row r="310" spans="10:15" x14ac:dyDescent="0.25">
      <c r="J310" s="9"/>
      <c r="K310" s="9"/>
      <c r="L310" s="9"/>
      <c r="M310" s="9"/>
      <c r="N310" s="9"/>
      <c r="O310" s="9"/>
    </row>
    <row r="311" spans="10:15" x14ac:dyDescent="0.25">
      <c r="J311" s="9"/>
      <c r="K311" s="9"/>
      <c r="L311" s="9"/>
      <c r="M311" s="9"/>
      <c r="N311" s="9"/>
      <c r="O311" s="9"/>
    </row>
    <row r="312" spans="10:15" x14ac:dyDescent="0.25">
      <c r="J312" s="9"/>
      <c r="K312" s="9"/>
      <c r="L312" s="9"/>
      <c r="M312" s="9"/>
      <c r="N312" s="9"/>
      <c r="O312" s="9"/>
    </row>
    <row r="313" spans="10:15" x14ac:dyDescent="0.25">
      <c r="J313" s="9"/>
      <c r="K313" s="9"/>
      <c r="L313" s="9"/>
      <c r="M313" s="9"/>
      <c r="N313" s="9"/>
      <c r="O313" s="9"/>
    </row>
    <row r="314" spans="10:15" x14ac:dyDescent="0.25">
      <c r="J314" s="9"/>
      <c r="K314" s="9"/>
      <c r="L314" s="9"/>
      <c r="M314" s="9"/>
      <c r="N314" s="9"/>
      <c r="O314" s="9"/>
    </row>
    <row r="315" spans="10:15" x14ac:dyDescent="0.25">
      <c r="J315" s="9"/>
      <c r="K315" s="9"/>
      <c r="L315" s="9"/>
      <c r="M315" s="9"/>
      <c r="N315" s="9"/>
      <c r="O315" s="9"/>
    </row>
    <row r="316" spans="10:15" x14ac:dyDescent="0.25">
      <c r="J316" s="9"/>
      <c r="K316" s="9"/>
      <c r="L316" s="9"/>
      <c r="M316" s="9"/>
      <c r="N316" s="9"/>
      <c r="O316" s="9"/>
    </row>
    <row r="317" spans="10:15" x14ac:dyDescent="0.25">
      <c r="J317" s="9"/>
      <c r="K317" s="9"/>
      <c r="L317" s="9"/>
      <c r="M317" s="9"/>
      <c r="N317" s="9"/>
      <c r="O317" s="9"/>
    </row>
    <row r="318" spans="10:15" x14ac:dyDescent="0.25">
      <c r="J318" s="9"/>
      <c r="K318" s="9"/>
      <c r="L318" s="9"/>
      <c r="M318" s="9"/>
      <c r="N318" s="9"/>
      <c r="O318" s="9"/>
    </row>
    <row r="319" spans="10:15" x14ac:dyDescent="0.25">
      <c r="J319" s="9"/>
      <c r="K319" s="9"/>
      <c r="L319" s="9"/>
      <c r="M319" s="9"/>
      <c r="N319" s="9"/>
      <c r="O319" s="9"/>
    </row>
    <row r="320" spans="10:15" x14ac:dyDescent="0.25">
      <c r="J320" s="9"/>
      <c r="K320" s="9"/>
      <c r="L320" s="9"/>
      <c r="M320" s="9"/>
      <c r="N320" s="9"/>
      <c r="O320" s="9"/>
    </row>
    <row r="321" spans="10:15" x14ac:dyDescent="0.25">
      <c r="J321" s="9"/>
      <c r="K321" s="9"/>
      <c r="L321" s="9"/>
      <c r="M321" s="9"/>
      <c r="N321" s="9"/>
      <c r="O321" s="9"/>
    </row>
    <row r="322" spans="10:15" x14ac:dyDescent="0.25">
      <c r="J322" s="9"/>
      <c r="K322" s="9"/>
      <c r="L322" s="9"/>
      <c r="M322" s="9"/>
      <c r="N322" s="9"/>
      <c r="O322" s="9"/>
    </row>
    <row r="323" spans="10:15" x14ac:dyDescent="0.25">
      <c r="J323" s="9"/>
      <c r="K323" s="9"/>
      <c r="L323" s="9"/>
      <c r="M323" s="9"/>
      <c r="N323" s="9"/>
      <c r="O323" s="9"/>
    </row>
    <row r="324" spans="10:15" x14ac:dyDescent="0.25">
      <c r="J324" s="9"/>
      <c r="K324" s="9"/>
      <c r="L324" s="9"/>
      <c r="M324" s="9"/>
      <c r="N324" s="9"/>
      <c r="O324" s="9"/>
    </row>
    <row r="325" spans="10:15" x14ac:dyDescent="0.25">
      <c r="J325" s="9"/>
      <c r="K325" s="9"/>
      <c r="L325" s="9"/>
      <c r="M325" s="9"/>
      <c r="N325" s="9"/>
      <c r="O325" s="9"/>
    </row>
    <row r="326" spans="10:15" x14ac:dyDescent="0.25">
      <c r="J326" s="9"/>
      <c r="K326" s="9"/>
      <c r="L326" s="9"/>
      <c r="M326" s="9"/>
      <c r="N326" s="9"/>
      <c r="O326" s="9"/>
    </row>
    <row r="327" spans="10:15" x14ac:dyDescent="0.25">
      <c r="J327" s="9"/>
      <c r="K327" s="9"/>
      <c r="L327" s="9"/>
      <c r="M327" s="9"/>
      <c r="N327" s="9"/>
      <c r="O327" s="9"/>
    </row>
    <row r="328" spans="10:15" x14ac:dyDescent="0.25">
      <c r="J328" s="9"/>
      <c r="K328" s="9"/>
      <c r="L328" s="9"/>
      <c r="M328" s="9"/>
      <c r="N328" s="9"/>
      <c r="O328" s="9"/>
    </row>
    <row r="329" spans="10:15" x14ac:dyDescent="0.25">
      <c r="J329" s="9"/>
      <c r="K329" s="9"/>
      <c r="L329" s="9"/>
      <c r="M329" s="9"/>
      <c r="N329" s="9"/>
      <c r="O329" s="9"/>
    </row>
    <row r="330" spans="10:15" x14ac:dyDescent="0.25">
      <c r="J330" s="9"/>
      <c r="K330" s="9"/>
      <c r="L330" s="9"/>
      <c r="M330" s="9"/>
      <c r="N330" s="9"/>
      <c r="O330" s="9"/>
    </row>
    <row r="331" spans="10:15" x14ac:dyDescent="0.25">
      <c r="J331" s="9"/>
      <c r="K331" s="9"/>
      <c r="L331" s="9"/>
      <c r="M331" s="9"/>
      <c r="N331" s="9"/>
      <c r="O331" s="9"/>
    </row>
    <row r="332" spans="10:15" x14ac:dyDescent="0.25">
      <c r="J332" s="9"/>
      <c r="K332" s="9"/>
      <c r="L332" s="9"/>
      <c r="M332" s="9"/>
      <c r="N332" s="9"/>
      <c r="O332" s="9"/>
    </row>
    <row r="333" spans="10:15" x14ac:dyDescent="0.25">
      <c r="J333" s="9"/>
      <c r="K333" s="9"/>
      <c r="L333" s="9"/>
      <c r="M333" s="9"/>
      <c r="N333" s="9"/>
      <c r="O333" s="9"/>
    </row>
    <row r="334" spans="10:15" x14ac:dyDescent="0.25">
      <c r="J334" s="9"/>
      <c r="K334" s="9"/>
      <c r="L334" s="9"/>
      <c r="M334" s="9"/>
      <c r="N334" s="9"/>
      <c r="O334" s="9"/>
    </row>
    <row r="335" spans="10:15" x14ac:dyDescent="0.25">
      <c r="J335" s="9"/>
      <c r="K335" s="9"/>
      <c r="L335" s="9"/>
      <c r="M335" s="9"/>
      <c r="N335" s="9"/>
      <c r="O335" s="9"/>
    </row>
    <row r="336" spans="10:15" x14ac:dyDescent="0.25">
      <c r="J336" s="9"/>
      <c r="K336" s="9"/>
      <c r="L336" s="9"/>
      <c r="M336" s="9"/>
      <c r="N336" s="9"/>
      <c r="O336" s="9"/>
    </row>
    <row r="337" spans="10:15" x14ac:dyDescent="0.25">
      <c r="J337" s="9"/>
      <c r="K337" s="9"/>
      <c r="L337" s="9"/>
      <c r="M337" s="9"/>
      <c r="N337" s="9"/>
      <c r="O337" s="9"/>
    </row>
    <row r="338" spans="10:15" x14ac:dyDescent="0.25">
      <c r="J338" s="9"/>
      <c r="K338" s="9"/>
      <c r="L338" s="9"/>
      <c r="M338" s="9"/>
      <c r="N338" s="9"/>
      <c r="O338" s="9"/>
    </row>
    <row r="339" spans="10:15" x14ac:dyDescent="0.25">
      <c r="J339" s="9"/>
      <c r="K339" s="9"/>
      <c r="L339" s="9"/>
      <c r="M339" s="9"/>
      <c r="N339" s="9"/>
      <c r="O339" s="9"/>
    </row>
    <row r="340" spans="10:15" x14ac:dyDescent="0.25">
      <c r="J340" s="9"/>
      <c r="K340" s="9"/>
      <c r="L340" s="9"/>
      <c r="M340" s="9"/>
      <c r="N340" s="9"/>
      <c r="O340" s="9"/>
    </row>
    <row r="341" spans="10:15" x14ac:dyDescent="0.25">
      <c r="J341" s="9"/>
      <c r="K341" s="9"/>
      <c r="L341" s="9"/>
      <c r="M341" s="9"/>
      <c r="N341" s="9"/>
      <c r="O341" s="9"/>
    </row>
    <row r="342" spans="10:15" x14ac:dyDescent="0.25">
      <c r="J342" s="9"/>
      <c r="K342" s="9"/>
      <c r="L342" s="9"/>
      <c r="M342" s="9"/>
      <c r="N342" s="9"/>
      <c r="O342" s="9"/>
    </row>
    <row r="343" spans="10:15" x14ac:dyDescent="0.25">
      <c r="J343" s="9"/>
      <c r="K343" s="9"/>
      <c r="L343" s="9"/>
      <c r="M343" s="9"/>
      <c r="N343" s="9"/>
      <c r="O343" s="9"/>
    </row>
    <row r="344" spans="10:15" x14ac:dyDescent="0.25">
      <c r="J344" s="9"/>
      <c r="K344" s="9"/>
      <c r="L344" s="9"/>
      <c r="M344" s="9"/>
      <c r="N344" s="9"/>
      <c r="O344" s="9"/>
    </row>
    <row r="345" spans="10:15" x14ac:dyDescent="0.25">
      <c r="J345" s="9"/>
      <c r="K345" s="9"/>
      <c r="L345" s="9"/>
      <c r="M345" s="9"/>
      <c r="N345" s="9"/>
      <c r="O345" s="9"/>
    </row>
    <row r="346" spans="10:15" x14ac:dyDescent="0.25">
      <c r="J346" s="9"/>
      <c r="K346" s="9"/>
      <c r="L346" s="9"/>
      <c r="M346" s="9"/>
      <c r="N346" s="9"/>
      <c r="O346" s="9"/>
    </row>
    <row r="347" spans="10:15" x14ac:dyDescent="0.25">
      <c r="J347" s="9"/>
      <c r="K347" s="9"/>
      <c r="L347" s="9"/>
      <c r="M347" s="9"/>
      <c r="N347" s="9"/>
      <c r="O347" s="9"/>
    </row>
    <row r="348" spans="10:15" x14ac:dyDescent="0.25">
      <c r="J348" s="9"/>
      <c r="K348" s="9"/>
      <c r="L348" s="9"/>
      <c r="M348" s="9"/>
      <c r="N348" s="9"/>
      <c r="O348" s="9"/>
    </row>
    <row r="349" spans="10:15" x14ac:dyDescent="0.25">
      <c r="J349" s="9"/>
      <c r="K349" s="9"/>
      <c r="L349" s="9"/>
      <c r="M349" s="9"/>
      <c r="N349" s="9"/>
      <c r="O349" s="9"/>
    </row>
    <row r="350" spans="10:15" x14ac:dyDescent="0.25">
      <c r="J350" s="9"/>
      <c r="K350" s="9"/>
      <c r="L350" s="9"/>
      <c r="M350" s="9"/>
      <c r="N350" s="9"/>
      <c r="O350" s="9"/>
    </row>
    <row r="351" spans="10:15" x14ac:dyDescent="0.25">
      <c r="J351" s="9"/>
      <c r="K351" s="9"/>
      <c r="L351" s="9"/>
      <c r="M351" s="9"/>
      <c r="N351" s="9"/>
      <c r="O351" s="9"/>
    </row>
    <row r="352" spans="10:15" x14ac:dyDescent="0.25">
      <c r="J352" s="9"/>
      <c r="K352" s="9"/>
      <c r="L352" s="9"/>
      <c r="M352" s="9"/>
      <c r="N352" s="9"/>
      <c r="O352" s="9"/>
    </row>
    <row r="353" spans="10:15" x14ac:dyDescent="0.25">
      <c r="J353" s="9"/>
      <c r="K353" s="9"/>
      <c r="L353" s="9"/>
      <c r="M353" s="9"/>
      <c r="N353" s="9"/>
      <c r="O353" s="9"/>
    </row>
    <row r="354" spans="10:15" x14ac:dyDescent="0.25">
      <c r="J354" s="9"/>
      <c r="K354" s="9"/>
      <c r="L354" s="9"/>
      <c r="M354" s="9"/>
      <c r="N354" s="9"/>
      <c r="O354" s="9"/>
    </row>
    <row r="355" spans="10:15" x14ac:dyDescent="0.25">
      <c r="J355" s="9"/>
      <c r="K355" s="9"/>
      <c r="L355" s="9"/>
      <c r="M355" s="9"/>
      <c r="N355" s="9"/>
      <c r="O355" s="9"/>
    </row>
    <row r="356" spans="10:15" x14ac:dyDescent="0.25">
      <c r="J356" s="9"/>
      <c r="K356" s="9"/>
      <c r="L356" s="9"/>
      <c r="M356" s="9"/>
      <c r="N356" s="9"/>
      <c r="O356" s="9"/>
    </row>
    <row r="357" spans="10:15" x14ac:dyDescent="0.25">
      <c r="J357" s="9"/>
      <c r="K357" s="9"/>
      <c r="L357" s="9"/>
      <c r="M357" s="9"/>
      <c r="N357" s="9"/>
      <c r="O357" s="9"/>
    </row>
    <row r="358" spans="10:15" x14ac:dyDescent="0.25">
      <c r="J358" s="9"/>
      <c r="K358" s="9"/>
      <c r="L358" s="9"/>
      <c r="M358" s="9"/>
      <c r="N358" s="9"/>
      <c r="O358" s="9"/>
    </row>
    <row r="359" spans="10:15" x14ac:dyDescent="0.25">
      <c r="J359" s="9"/>
      <c r="K359" s="9"/>
      <c r="L359" s="9"/>
      <c r="M359" s="9"/>
      <c r="N359" s="9"/>
      <c r="O359" s="9"/>
    </row>
    <row r="360" spans="10:15" x14ac:dyDescent="0.25">
      <c r="J360" s="9"/>
      <c r="K360" s="9"/>
      <c r="L360" s="9"/>
      <c r="M360" s="9"/>
      <c r="N360" s="9"/>
      <c r="O360" s="9"/>
    </row>
    <row r="361" spans="10:15" x14ac:dyDescent="0.25">
      <c r="J361" s="9"/>
      <c r="K361" s="9"/>
      <c r="L361" s="9"/>
      <c r="M361" s="9"/>
      <c r="N361" s="9"/>
      <c r="O361" s="9"/>
    </row>
    <row r="362" spans="10:15" x14ac:dyDescent="0.25">
      <c r="J362" s="9"/>
      <c r="K362" s="9"/>
      <c r="L362" s="9"/>
      <c r="M362" s="9"/>
      <c r="N362" s="9"/>
      <c r="O362" s="9"/>
    </row>
    <row r="363" spans="10:15" x14ac:dyDescent="0.25">
      <c r="J363" s="9"/>
      <c r="K363" s="9"/>
      <c r="L363" s="9"/>
      <c r="M363" s="9"/>
      <c r="N363" s="9"/>
      <c r="O363" s="9"/>
    </row>
    <row r="364" spans="10:15" x14ac:dyDescent="0.25">
      <c r="J364" s="9"/>
      <c r="K364" s="9"/>
      <c r="L364" s="9"/>
      <c r="M364" s="9"/>
      <c r="N364" s="9"/>
      <c r="O364" s="9"/>
    </row>
    <row r="365" spans="10:15" x14ac:dyDescent="0.25">
      <c r="J365" s="9"/>
      <c r="K365" s="9"/>
      <c r="L365" s="9"/>
      <c r="M365" s="9"/>
      <c r="N365" s="9"/>
      <c r="O365" s="9"/>
    </row>
    <row r="366" spans="10:15" x14ac:dyDescent="0.25">
      <c r="J366" s="9"/>
      <c r="K366" s="9"/>
      <c r="L366" s="9"/>
      <c r="M366" s="9"/>
      <c r="N366" s="9"/>
      <c r="O366" s="9"/>
    </row>
    <row r="367" spans="10:15" x14ac:dyDescent="0.25">
      <c r="J367" s="9"/>
      <c r="K367" s="9"/>
      <c r="L367" s="9"/>
      <c r="M367" s="9"/>
      <c r="N367" s="9"/>
      <c r="O367" s="9"/>
    </row>
    <row r="368" spans="10:15" x14ac:dyDescent="0.25">
      <c r="J368" s="9"/>
      <c r="K368" s="9"/>
      <c r="L368" s="9"/>
      <c r="M368" s="9"/>
      <c r="N368" s="9"/>
      <c r="O368" s="9"/>
    </row>
    <row r="369" spans="10:15" x14ac:dyDescent="0.25">
      <c r="J369" s="9"/>
      <c r="K369" s="9"/>
      <c r="L369" s="9"/>
      <c r="M369" s="9"/>
      <c r="N369" s="9"/>
      <c r="O369" s="9"/>
    </row>
    <row r="370" spans="10:15" x14ac:dyDescent="0.25">
      <c r="J370" s="9"/>
      <c r="K370" s="9"/>
      <c r="L370" s="9"/>
      <c r="M370" s="9"/>
      <c r="N370" s="9"/>
      <c r="O370" s="9"/>
    </row>
    <row r="371" spans="10:15" x14ac:dyDescent="0.25">
      <c r="J371" s="9"/>
      <c r="K371" s="9"/>
      <c r="L371" s="9"/>
      <c r="M371" s="9"/>
      <c r="N371" s="9"/>
      <c r="O371" s="9"/>
    </row>
    <row r="372" spans="10:15" x14ac:dyDescent="0.25">
      <c r="J372" s="9"/>
      <c r="K372" s="9"/>
      <c r="L372" s="9"/>
      <c r="M372" s="9"/>
      <c r="N372" s="9"/>
      <c r="O372" s="9"/>
    </row>
    <row r="373" spans="10:15" x14ac:dyDescent="0.25">
      <c r="J373" s="9"/>
      <c r="K373" s="9"/>
      <c r="L373" s="9"/>
      <c r="M373" s="9"/>
      <c r="N373" s="9"/>
      <c r="O373" s="9"/>
    </row>
    <row r="374" spans="10:15" x14ac:dyDescent="0.25">
      <c r="J374" s="9"/>
      <c r="K374" s="9"/>
      <c r="L374" s="9"/>
      <c r="M374" s="9"/>
      <c r="N374" s="9"/>
      <c r="O374" s="9"/>
    </row>
    <row r="375" spans="10:15" x14ac:dyDescent="0.25">
      <c r="J375" s="9"/>
      <c r="K375" s="9"/>
      <c r="L375" s="9"/>
      <c r="M375" s="9"/>
      <c r="N375" s="9"/>
      <c r="O375" s="9"/>
    </row>
    <row r="376" spans="10:15" x14ac:dyDescent="0.25">
      <c r="J376" s="9"/>
      <c r="K376" s="9"/>
      <c r="L376" s="9"/>
      <c r="M376" s="9"/>
      <c r="N376" s="9"/>
      <c r="O376" s="9"/>
    </row>
    <row r="377" spans="10:15" x14ac:dyDescent="0.25">
      <c r="J377" s="9"/>
      <c r="K377" s="9"/>
      <c r="L377" s="9"/>
      <c r="M377" s="9"/>
      <c r="N377" s="9"/>
      <c r="O377" s="9"/>
    </row>
    <row r="378" spans="10:15" x14ac:dyDescent="0.25">
      <c r="J378" s="9"/>
      <c r="K378" s="9"/>
      <c r="L378" s="9"/>
      <c r="M378" s="9"/>
      <c r="N378" s="9"/>
      <c r="O378" s="9"/>
    </row>
    <row r="379" spans="10:15" x14ac:dyDescent="0.25">
      <c r="J379" s="9"/>
      <c r="K379" s="9"/>
      <c r="L379" s="9"/>
      <c r="M379" s="9"/>
      <c r="N379" s="9"/>
      <c r="O379" s="9"/>
    </row>
    <row r="380" spans="10:15" x14ac:dyDescent="0.25">
      <c r="J380" s="9"/>
      <c r="K380" s="9"/>
      <c r="L380" s="9"/>
      <c r="M380" s="9"/>
      <c r="N380" s="9"/>
      <c r="O380" s="9"/>
    </row>
    <row r="381" spans="10:15" x14ac:dyDescent="0.25">
      <c r="J381" s="9"/>
      <c r="K381" s="9"/>
      <c r="L381" s="9"/>
      <c r="M381" s="9"/>
      <c r="N381" s="9"/>
      <c r="O381" s="9"/>
    </row>
    <row r="382" spans="10:15" x14ac:dyDescent="0.25">
      <c r="J382" s="9"/>
      <c r="K382" s="9"/>
      <c r="L382" s="9"/>
      <c r="M382" s="9"/>
      <c r="N382" s="9"/>
      <c r="O382" s="9"/>
    </row>
    <row r="383" spans="10:15" x14ac:dyDescent="0.25">
      <c r="J383" s="9"/>
      <c r="K383" s="9"/>
      <c r="L383" s="9"/>
      <c r="M383" s="9"/>
      <c r="N383" s="9"/>
      <c r="O383" s="9"/>
    </row>
    <row r="384" spans="10:15" x14ac:dyDescent="0.25">
      <c r="J384" s="9"/>
      <c r="K384" s="9"/>
      <c r="L384" s="9"/>
      <c r="M384" s="9"/>
      <c r="N384" s="9"/>
      <c r="O384" s="9"/>
    </row>
    <row r="385" spans="10:15" x14ac:dyDescent="0.25">
      <c r="J385" s="9"/>
      <c r="K385" s="9"/>
      <c r="L385" s="9"/>
      <c r="M385" s="9"/>
      <c r="N385" s="9"/>
      <c r="O385" s="9"/>
    </row>
    <row r="386" spans="10:15" x14ac:dyDescent="0.25">
      <c r="J386" s="9"/>
      <c r="K386" s="9"/>
      <c r="L386" s="9"/>
      <c r="M386" s="9"/>
      <c r="N386" s="9"/>
      <c r="O386" s="9"/>
    </row>
    <row r="387" spans="10:15" x14ac:dyDescent="0.25">
      <c r="J387" s="9"/>
      <c r="K387" s="9"/>
      <c r="L387" s="9"/>
      <c r="M387" s="9"/>
      <c r="N387" s="9"/>
      <c r="O387" s="9"/>
    </row>
    <row r="388" spans="10:15" x14ac:dyDescent="0.25">
      <c r="J388" s="9"/>
      <c r="K388" s="9"/>
      <c r="L388" s="9"/>
      <c r="M388" s="9"/>
      <c r="N388" s="9"/>
      <c r="O388" s="9"/>
    </row>
    <row r="389" spans="10:15" x14ac:dyDescent="0.25">
      <c r="J389" s="9"/>
      <c r="K389" s="9"/>
      <c r="L389" s="9"/>
      <c r="M389" s="9"/>
      <c r="N389" s="9"/>
      <c r="O389" s="9"/>
    </row>
    <row r="390" spans="10:15" x14ac:dyDescent="0.25">
      <c r="J390" s="9"/>
      <c r="K390" s="9"/>
      <c r="L390" s="9"/>
      <c r="M390" s="9"/>
      <c r="N390" s="9"/>
      <c r="O390" s="9"/>
    </row>
    <row r="391" spans="10:15" x14ac:dyDescent="0.25">
      <c r="J391" s="9"/>
      <c r="K391" s="9"/>
      <c r="L391" s="9"/>
      <c r="M391" s="9"/>
      <c r="N391" s="9"/>
      <c r="O391" s="9"/>
    </row>
    <row r="392" spans="10:15" x14ac:dyDescent="0.25">
      <c r="J392" s="9"/>
      <c r="K392" s="9"/>
      <c r="L392" s="9"/>
      <c r="M392" s="9"/>
      <c r="N392" s="9"/>
      <c r="O392" s="9"/>
    </row>
    <row r="393" spans="10:15" x14ac:dyDescent="0.25">
      <c r="J393" s="9"/>
      <c r="K393" s="9"/>
      <c r="L393" s="9"/>
      <c r="M393" s="9"/>
      <c r="N393" s="9"/>
      <c r="O393" s="9"/>
    </row>
    <row r="394" spans="10:15" x14ac:dyDescent="0.25">
      <c r="J394" s="9"/>
      <c r="K394" s="9"/>
      <c r="L394" s="9"/>
      <c r="M394" s="9"/>
      <c r="N394" s="9"/>
      <c r="O394" s="9"/>
    </row>
    <row r="395" spans="10:15" x14ac:dyDescent="0.25">
      <c r="J395" s="9"/>
      <c r="K395" s="9"/>
      <c r="L395" s="9"/>
      <c r="M395" s="9"/>
      <c r="N395" s="9"/>
      <c r="O395" s="9"/>
    </row>
    <row r="396" spans="10:15" x14ac:dyDescent="0.25">
      <c r="J396" s="9"/>
      <c r="K396" s="9"/>
      <c r="L396" s="9"/>
      <c r="M396" s="9"/>
      <c r="N396" s="9"/>
      <c r="O396" s="9"/>
    </row>
    <row r="397" spans="10:15" x14ac:dyDescent="0.25">
      <c r="J397" s="9"/>
      <c r="K397" s="9"/>
      <c r="L397" s="9"/>
      <c r="M397" s="9"/>
      <c r="N397" s="9"/>
      <c r="O397" s="9"/>
    </row>
    <row r="398" spans="10:15" x14ac:dyDescent="0.25">
      <c r="J398" s="9"/>
      <c r="K398" s="9"/>
      <c r="L398" s="9"/>
      <c r="M398" s="9"/>
      <c r="N398" s="9"/>
      <c r="O398" s="9"/>
    </row>
    <row r="399" spans="10:15" x14ac:dyDescent="0.25">
      <c r="J399" s="9"/>
      <c r="K399" s="9"/>
      <c r="L399" s="9"/>
      <c r="M399" s="9"/>
      <c r="N399" s="9"/>
      <c r="O399" s="9"/>
    </row>
    <row r="400" spans="10:15" x14ac:dyDescent="0.25">
      <c r="J400" s="9"/>
      <c r="K400" s="9"/>
      <c r="L400" s="9"/>
      <c r="M400" s="9"/>
      <c r="N400" s="9"/>
      <c r="O400" s="9"/>
    </row>
    <row r="401" spans="10:15" x14ac:dyDescent="0.25">
      <c r="J401" s="9"/>
      <c r="K401" s="9"/>
      <c r="L401" s="9"/>
      <c r="M401" s="9"/>
      <c r="N401" s="9"/>
      <c r="O401" s="9"/>
    </row>
    <row r="402" spans="10:15" x14ac:dyDescent="0.25">
      <c r="J402" s="9"/>
      <c r="K402" s="9"/>
      <c r="L402" s="9"/>
      <c r="M402" s="9"/>
      <c r="N402" s="9"/>
      <c r="O402" s="9"/>
    </row>
    <row r="403" spans="10:15" x14ac:dyDescent="0.25">
      <c r="J403" s="9"/>
      <c r="K403" s="9"/>
      <c r="L403" s="9"/>
      <c r="M403" s="9"/>
      <c r="N403" s="9"/>
      <c r="O403" s="9"/>
    </row>
    <row r="404" spans="10:15" x14ac:dyDescent="0.25">
      <c r="J404" s="9"/>
      <c r="K404" s="9"/>
      <c r="L404" s="9"/>
      <c r="M404" s="9"/>
      <c r="N404" s="9"/>
      <c r="O404" s="9"/>
    </row>
    <row r="405" spans="10:15" x14ac:dyDescent="0.25">
      <c r="J405" s="9"/>
      <c r="K405" s="9"/>
      <c r="L405" s="9"/>
      <c r="M405" s="9"/>
      <c r="N405" s="9"/>
      <c r="O405" s="9"/>
    </row>
    <row r="406" spans="10:15" x14ac:dyDescent="0.25">
      <c r="J406" s="9"/>
      <c r="K406" s="9"/>
      <c r="L406" s="9"/>
      <c r="M406" s="9"/>
      <c r="N406" s="9"/>
      <c r="O406" s="9"/>
    </row>
    <row r="407" spans="10:15" x14ac:dyDescent="0.25">
      <c r="J407" s="9"/>
      <c r="K407" s="9"/>
      <c r="L407" s="9"/>
      <c r="M407" s="9"/>
      <c r="N407" s="9"/>
      <c r="O407" s="9"/>
    </row>
    <row r="408" spans="10:15" x14ac:dyDescent="0.25">
      <c r="J408" s="9"/>
      <c r="K408" s="9"/>
      <c r="L408" s="9"/>
      <c r="M408" s="9"/>
      <c r="N408" s="9"/>
      <c r="O408" s="9"/>
    </row>
    <row r="409" spans="10:15" x14ac:dyDescent="0.25">
      <c r="J409" s="9"/>
      <c r="K409" s="9"/>
      <c r="L409" s="9"/>
      <c r="M409" s="9"/>
      <c r="N409" s="9"/>
      <c r="O409" s="9"/>
    </row>
    <row r="410" spans="10:15" x14ac:dyDescent="0.25">
      <c r="J410" s="9"/>
      <c r="K410" s="9"/>
      <c r="L410" s="9"/>
      <c r="M410" s="9"/>
      <c r="N410" s="9"/>
      <c r="O410" s="9"/>
    </row>
    <row r="411" spans="10:15" x14ac:dyDescent="0.25">
      <c r="J411" s="9"/>
      <c r="K411" s="9"/>
      <c r="L411" s="9"/>
      <c r="M411" s="9"/>
      <c r="N411" s="9"/>
      <c r="O411" s="9"/>
    </row>
    <row r="412" spans="10:15" x14ac:dyDescent="0.25">
      <c r="J412" s="9"/>
      <c r="K412" s="9"/>
      <c r="L412" s="9"/>
      <c r="M412" s="9"/>
      <c r="N412" s="9"/>
      <c r="O412" s="9"/>
    </row>
    <row r="413" spans="10:15" x14ac:dyDescent="0.25">
      <c r="J413" s="9"/>
      <c r="K413" s="9"/>
      <c r="L413" s="9"/>
      <c r="M413" s="9"/>
      <c r="N413" s="9"/>
      <c r="O413" s="9"/>
    </row>
    <row r="414" spans="10:15" x14ac:dyDescent="0.25">
      <c r="J414" s="9"/>
      <c r="K414" s="9"/>
      <c r="L414" s="9"/>
      <c r="M414" s="9"/>
      <c r="N414" s="9"/>
      <c r="O414" s="9"/>
    </row>
    <row r="415" spans="10:15" x14ac:dyDescent="0.25">
      <c r="J415" s="9"/>
      <c r="K415" s="9"/>
      <c r="L415" s="9"/>
      <c r="M415" s="9"/>
      <c r="N415" s="9"/>
      <c r="O415" s="9"/>
    </row>
    <row r="416" spans="10:15" x14ac:dyDescent="0.25">
      <c r="J416" s="9"/>
      <c r="K416" s="9"/>
      <c r="L416" s="9"/>
      <c r="M416" s="9"/>
      <c r="N416" s="9"/>
      <c r="O416" s="9"/>
    </row>
    <row r="417" spans="10:15" x14ac:dyDescent="0.25">
      <c r="J417" s="9"/>
      <c r="K417" s="9"/>
      <c r="L417" s="9"/>
      <c r="M417" s="9"/>
      <c r="N417" s="9"/>
      <c r="O417" s="9"/>
    </row>
    <row r="418" spans="10:15" x14ac:dyDescent="0.25">
      <c r="J418" s="9"/>
      <c r="K418" s="9"/>
      <c r="L418" s="9"/>
      <c r="M418" s="9"/>
      <c r="N418" s="9"/>
      <c r="O418" s="9"/>
    </row>
    <row r="419" spans="10:15" x14ac:dyDescent="0.25">
      <c r="J419" s="9"/>
      <c r="K419" s="9"/>
      <c r="L419" s="9"/>
      <c r="M419" s="9"/>
      <c r="N419" s="9"/>
      <c r="O419" s="9"/>
    </row>
    <row r="420" spans="10:15" x14ac:dyDescent="0.25">
      <c r="J420" s="9"/>
      <c r="K420" s="9"/>
      <c r="L420" s="9"/>
      <c r="M420" s="9"/>
      <c r="N420" s="9"/>
      <c r="O420" s="9"/>
    </row>
    <row r="421" spans="10:15" x14ac:dyDescent="0.25">
      <c r="J421" s="9"/>
      <c r="K421" s="9"/>
      <c r="L421" s="9"/>
      <c r="M421" s="9"/>
      <c r="N421" s="9"/>
      <c r="O421" s="9"/>
    </row>
    <row r="422" spans="10:15" x14ac:dyDescent="0.25">
      <c r="J422" s="9"/>
      <c r="K422" s="9"/>
      <c r="L422" s="9"/>
      <c r="M422" s="9"/>
      <c r="N422" s="9"/>
      <c r="O422" s="9"/>
    </row>
    <row r="423" spans="10:15" x14ac:dyDescent="0.25">
      <c r="J423" s="9"/>
      <c r="K423" s="9"/>
      <c r="L423" s="9"/>
      <c r="M423" s="9"/>
      <c r="N423" s="9"/>
      <c r="O423" s="9"/>
    </row>
    <row r="424" spans="10:15" x14ac:dyDescent="0.25">
      <c r="J424" s="9"/>
      <c r="K424" s="9"/>
      <c r="L424" s="9"/>
      <c r="M424" s="9"/>
      <c r="N424" s="9"/>
      <c r="O424" s="9"/>
    </row>
    <row r="425" spans="10:15" x14ac:dyDescent="0.25">
      <c r="J425" s="9"/>
      <c r="K425" s="9"/>
      <c r="L425" s="9"/>
      <c r="M425" s="9"/>
      <c r="N425" s="9"/>
      <c r="O425" s="9"/>
    </row>
    <row r="426" spans="10:15" x14ac:dyDescent="0.25">
      <c r="J426" s="9"/>
      <c r="K426" s="9"/>
      <c r="L426" s="9"/>
      <c r="M426" s="9"/>
      <c r="N426" s="9"/>
      <c r="O426" s="9"/>
    </row>
    <row r="427" spans="10:15" x14ac:dyDescent="0.25">
      <c r="J427" s="9"/>
      <c r="K427" s="9"/>
      <c r="L427" s="9"/>
      <c r="M427" s="9"/>
      <c r="N427" s="9"/>
      <c r="O427" s="9"/>
    </row>
    <row r="428" spans="10:15" x14ac:dyDescent="0.25">
      <c r="J428" s="9"/>
      <c r="K428" s="9"/>
      <c r="L428" s="9"/>
      <c r="M428" s="9"/>
      <c r="N428" s="9"/>
      <c r="O428" s="9"/>
    </row>
    <row r="429" spans="10:15" x14ac:dyDescent="0.25">
      <c r="J429" s="9"/>
      <c r="K429" s="9"/>
      <c r="L429" s="9"/>
      <c r="M429" s="9"/>
      <c r="N429" s="9"/>
      <c r="O429" s="9"/>
    </row>
    <row r="430" spans="10:15" x14ac:dyDescent="0.25">
      <c r="J430" s="9"/>
      <c r="K430" s="9"/>
      <c r="L430" s="9"/>
      <c r="M430" s="9"/>
      <c r="N430" s="9"/>
      <c r="O430" s="9"/>
    </row>
    <row r="431" spans="10:15" x14ac:dyDescent="0.25">
      <c r="J431" s="9"/>
      <c r="K431" s="9"/>
      <c r="L431" s="9"/>
      <c r="M431" s="9"/>
      <c r="N431" s="9"/>
      <c r="O431" s="9"/>
    </row>
    <row r="432" spans="10:15" x14ac:dyDescent="0.25">
      <c r="J432" s="9"/>
      <c r="K432" s="9"/>
      <c r="L432" s="9"/>
      <c r="M432" s="9"/>
      <c r="N432" s="9"/>
      <c r="O432" s="9"/>
    </row>
    <row r="433" spans="10:15" x14ac:dyDescent="0.25">
      <c r="J433" s="9"/>
      <c r="K433" s="9"/>
      <c r="L433" s="9"/>
      <c r="M433" s="9"/>
      <c r="N433" s="9"/>
      <c r="O433" s="9"/>
    </row>
    <row r="434" spans="10:15" x14ac:dyDescent="0.25">
      <c r="J434" s="9"/>
      <c r="K434" s="9"/>
      <c r="L434" s="9"/>
      <c r="M434" s="9"/>
      <c r="N434" s="9"/>
      <c r="O434" s="9"/>
    </row>
    <row r="435" spans="10:15" x14ac:dyDescent="0.25">
      <c r="J435" s="9"/>
      <c r="K435" s="9"/>
      <c r="L435" s="9"/>
      <c r="M435" s="9"/>
      <c r="N435" s="9"/>
      <c r="O435" s="9"/>
    </row>
    <row r="436" spans="10:15" x14ac:dyDescent="0.25">
      <c r="J436" s="9"/>
      <c r="K436" s="9"/>
      <c r="L436" s="9"/>
      <c r="M436" s="9"/>
      <c r="N436" s="9"/>
      <c r="O436" s="9"/>
    </row>
    <row r="437" spans="10:15" x14ac:dyDescent="0.25">
      <c r="J437" s="9"/>
      <c r="K437" s="9"/>
      <c r="L437" s="9"/>
      <c r="M437" s="9"/>
      <c r="N437" s="9"/>
      <c r="O437" s="9"/>
    </row>
    <row r="438" spans="10:15" x14ac:dyDescent="0.25">
      <c r="J438" s="9"/>
      <c r="K438" s="9"/>
      <c r="L438" s="9"/>
      <c r="M438" s="9"/>
      <c r="N438" s="9"/>
      <c r="O438" s="9"/>
    </row>
    <row r="439" spans="10:15" x14ac:dyDescent="0.25">
      <c r="J439" s="9"/>
      <c r="K439" s="9"/>
      <c r="L439" s="9"/>
      <c r="M439" s="9"/>
      <c r="N439" s="9"/>
      <c r="O439" s="9"/>
    </row>
    <row r="440" spans="10:15" x14ac:dyDescent="0.25">
      <c r="J440" s="9"/>
      <c r="K440" s="9"/>
      <c r="L440" s="9"/>
      <c r="M440" s="9"/>
      <c r="N440" s="9"/>
      <c r="O440" s="9"/>
    </row>
    <row r="441" spans="10:15" x14ac:dyDescent="0.25">
      <c r="J441" s="9"/>
      <c r="K441" s="9"/>
      <c r="L441" s="9"/>
      <c r="M441" s="9"/>
      <c r="N441" s="9"/>
      <c r="O441" s="9"/>
    </row>
    <row r="442" spans="10:15" x14ac:dyDescent="0.25">
      <c r="J442" s="9"/>
      <c r="K442" s="9"/>
      <c r="L442" s="9"/>
      <c r="M442" s="9"/>
      <c r="N442" s="9"/>
      <c r="O442" s="9"/>
    </row>
    <row r="443" spans="10:15" x14ac:dyDescent="0.25">
      <c r="J443" s="9"/>
      <c r="K443" s="9"/>
      <c r="L443" s="9"/>
      <c r="M443" s="9"/>
      <c r="N443" s="9"/>
      <c r="O443" s="9"/>
    </row>
    <row r="444" spans="10:15" x14ac:dyDescent="0.25">
      <c r="J444" s="9"/>
      <c r="K444" s="9"/>
      <c r="L444" s="9"/>
      <c r="M444" s="9"/>
      <c r="N444" s="9"/>
      <c r="O444" s="9"/>
    </row>
    <row r="445" spans="10:15" x14ac:dyDescent="0.25">
      <c r="J445" s="9"/>
      <c r="K445" s="9"/>
      <c r="L445" s="9"/>
      <c r="M445" s="9"/>
      <c r="N445" s="9"/>
      <c r="O445" s="9"/>
    </row>
    <row r="446" spans="10:15" x14ac:dyDescent="0.25">
      <c r="J446" s="9"/>
      <c r="K446" s="9"/>
      <c r="L446" s="9"/>
      <c r="M446" s="9"/>
      <c r="N446" s="9"/>
      <c r="O446" s="9"/>
    </row>
    <row r="447" spans="10:15" x14ac:dyDescent="0.25">
      <c r="J447" s="9"/>
      <c r="K447" s="9"/>
      <c r="L447" s="9"/>
      <c r="M447" s="9"/>
      <c r="N447" s="9"/>
      <c r="O447" s="9"/>
    </row>
    <row r="448" spans="10:15" x14ac:dyDescent="0.25">
      <c r="J448" s="9"/>
      <c r="K448" s="9"/>
      <c r="L448" s="9"/>
      <c r="M448" s="9"/>
      <c r="N448" s="9"/>
      <c r="O448" s="9"/>
    </row>
    <row r="449" spans="10:15" x14ac:dyDescent="0.25">
      <c r="J449" s="9"/>
      <c r="K449" s="9"/>
      <c r="L449" s="9"/>
      <c r="M449" s="9"/>
      <c r="N449" s="9"/>
      <c r="O449" s="9"/>
    </row>
    <row r="450" spans="10:15" x14ac:dyDescent="0.25">
      <c r="J450" s="9"/>
      <c r="K450" s="9"/>
      <c r="L450" s="9"/>
      <c r="M450" s="9"/>
      <c r="N450" s="9"/>
      <c r="O450" s="9"/>
    </row>
    <row r="451" spans="10:15" x14ac:dyDescent="0.25">
      <c r="J451" s="9"/>
      <c r="K451" s="9"/>
      <c r="L451" s="9"/>
      <c r="M451" s="9"/>
      <c r="N451" s="9"/>
      <c r="O451" s="9"/>
    </row>
    <row r="452" spans="10:15" x14ac:dyDescent="0.25">
      <c r="J452" s="9"/>
      <c r="K452" s="9"/>
      <c r="L452" s="9"/>
      <c r="M452" s="9"/>
      <c r="N452" s="9"/>
      <c r="O452" s="9"/>
    </row>
    <row r="453" spans="10:15" x14ac:dyDescent="0.25">
      <c r="J453" s="9"/>
      <c r="K453" s="9"/>
      <c r="L453" s="9"/>
      <c r="M453" s="9"/>
      <c r="N453" s="9"/>
      <c r="O453" s="9"/>
    </row>
    <row r="454" spans="10:15" x14ac:dyDescent="0.25">
      <c r="J454" s="9"/>
      <c r="K454" s="9"/>
      <c r="L454" s="9"/>
      <c r="M454" s="9"/>
      <c r="N454" s="9"/>
      <c r="O454" s="9"/>
    </row>
    <row r="455" spans="10:15" x14ac:dyDescent="0.25">
      <c r="J455" s="9"/>
      <c r="K455" s="9"/>
      <c r="L455" s="9"/>
      <c r="M455" s="9"/>
      <c r="N455" s="9"/>
      <c r="O455" s="9"/>
    </row>
    <row r="456" spans="10:15" x14ac:dyDescent="0.25">
      <c r="J456" s="9"/>
      <c r="K456" s="9"/>
      <c r="L456" s="9"/>
      <c r="M456" s="9"/>
      <c r="N456" s="9"/>
      <c r="O456" s="9"/>
    </row>
    <row r="457" spans="10:15" x14ac:dyDescent="0.25">
      <c r="J457" s="9"/>
      <c r="K457" s="9"/>
      <c r="L457" s="9"/>
      <c r="M457" s="9"/>
      <c r="N457" s="9"/>
      <c r="O457" s="9"/>
    </row>
    <row r="458" spans="10:15" x14ac:dyDescent="0.25">
      <c r="J458" s="9"/>
      <c r="K458" s="9"/>
      <c r="L458" s="9"/>
      <c r="M458" s="9"/>
      <c r="N458" s="9"/>
      <c r="O458" s="9"/>
    </row>
    <row r="459" spans="10:15" x14ac:dyDescent="0.25">
      <c r="J459" s="9"/>
      <c r="K459" s="9"/>
      <c r="L459" s="9"/>
      <c r="M459" s="9"/>
      <c r="N459" s="9"/>
      <c r="O459" s="9"/>
    </row>
    <row r="460" spans="10:15" x14ac:dyDescent="0.25">
      <c r="J460" s="9"/>
      <c r="K460" s="9"/>
      <c r="L460" s="9"/>
      <c r="M460" s="9"/>
      <c r="N460" s="9"/>
      <c r="O460" s="9"/>
    </row>
    <row r="461" spans="10:15" x14ac:dyDescent="0.25">
      <c r="J461" s="9"/>
      <c r="K461" s="9"/>
      <c r="L461" s="9"/>
      <c r="M461" s="9"/>
      <c r="N461" s="9"/>
      <c r="O461" s="9"/>
    </row>
    <row r="462" spans="10:15" x14ac:dyDescent="0.25">
      <c r="J462" s="9"/>
      <c r="K462" s="9"/>
      <c r="L462" s="9"/>
      <c r="M462" s="9"/>
      <c r="N462" s="9"/>
      <c r="O462" s="9"/>
    </row>
    <row r="463" spans="10:15" x14ac:dyDescent="0.25">
      <c r="J463" s="9"/>
      <c r="K463" s="9"/>
      <c r="L463" s="9"/>
      <c r="M463" s="9"/>
      <c r="N463" s="9"/>
      <c r="O463" s="9"/>
    </row>
    <row r="464" spans="10:15" x14ac:dyDescent="0.25">
      <c r="J464" s="9"/>
      <c r="K464" s="9"/>
      <c r="L464" s="9"/>
      <c r="M464" s="9"/>
      <c r="N464" s="9"/>
      <c r="O464" s="9"/>
    </row>
    <row r="465" spans="10:15" x14ac:dyDescent="0.25">
      <c r="J465" s="9"/>
      <c r="K465" s="9"/>
      <c r="L465" s="9"/>
      <c r="M465" s="9"/>
      <c r="N465" s="9"/>
      <c r="O465" s="9"/>
    </row>
    <row r="466" spans="10:15" x14ac:dyDescent="0.25">
      <c r="J466" s="9"/>
      <c r="K466" s="9"/>
      <c r="L466" s="9"/>
      <c r="M466" s="9"/>
      <c r="N466" s="9"/>
      <c r="O466" s="9"/>
    </row>
    <row r="467" spans="10:15" x14ac:dyDescent="0.25">
      <c r="J467" s="9"/>
      <c r="K467" s="9"/>
      <c r="L467" s="9"/>
      <c r="M467" s="9"/>
      <c r="N467" s="9"/>
      <c r="O467" s="9"/>
    </row>
    <row r="468" spans="10:15" x14ac:dyDescent="0.25">
      <c r="J468" s="9"/>
      <c r="K468" s="9"/>
      <c r="L468" s="9"/>
      <c r="M468" s="9"/>
      <c r="N468" s="9"/>
      <c r="O468" s="9"/>
    </row>
    <row r="469" spans="10:15" x14ac:dyDescent="0.25">
      <c r="J469" s="9"/>
      <c r="K469" s="9"/>
      <c r="L469" s="9"/>
      <c r="M469" s="9"/>
      <c r="N469" s="9"/>
      <c r="O469" s="9"/>
    </row>
    <row r="470" spans="10:15" x14ac:dyDescent="0.25">
      <c r="J470" s="9"/>
      <c r="K470" s="9"/>
      <c r="L470" s="9"/>
      <c r="M470" s="9"/>
      <c r="N470" s="9"/>
      <c r="O470" s="9"/>
    </row>
    <row r="471" spans="10:15" x14ac:dyDescent="0.25">
      <c r="J471" s="9"/>
      <c r="K471" s="9"/>
      <c r="L471" s="9"/>
      <c r="M471" s="9"/>
      <c r="N471" s="9"/>
      <c r="O471" s="9"/>
    </row>
    <row r="472" spans="10:15" x14ac:dyDescent="0.25">
      <c r="J472" s="9"/>
      <c r="K472" s="9"/>
      <c r="L472" s="9"/>
      <c r="M472" s="9"/>
      <c r="N472" s="9"/>
      <c r="O472" s="9"/>
    </row>
    <row r="473" spans="10:15" x14ac:dyDescent="0.25">
      <c r="J473" s="9"/>
      <c r="K473" s="9"/>
      <c r="L473" s="9"/>
      <c r="M473" s="9"/>
      <c r="N473" s="9"/>
      <c r="O473" s="9"/>
    </row>
    <row r="474" spans="10:15" x14ac:dyDescent="0.25">
      <c r="J474" s="9"/>
      <c r="K474" s="9"/>
      <c r="L474" s="9"/>
      <c r="M474" s="9"/>
      <c r="N474" s="9"/>
      <c r="O474" s="9"/>
    </row>
    <row r="475" spans="10:15" x14ac:dyDescent="0.25">
      <c r="J475" s="9"/>
      <c r="K475" s="9"/>
      <c r="L475" s="9"/>
      <c r="M475" s="9"/>
      <c r="N475" s="9"/>
      <c r="O475" s="9"/>
    </row>
    <row r="476" spans="10:15" x14ac:dyDescent="0.25">
      <c r="J476" s="9"/>
      <c r="K476" s="9"/>
      <c r="L476" s="9"/>
      <c r="M476" s="9"/>
      <c r="N476" s="9"/>
      <c r="O476" s="9"/>
    </row>
    <row r="477" spans="10:15" x14ac:dyDescent="0.25">
      <c r="J477" s="9"/>
      <c r="K477" s="9"/>
      <c r="L477" s="9"/>
      <c r="M477" s="9"/>
      <c r="N477" s="9"/>
      <c r="O477" s="9"/>
    </row>
    <row r="478" spans="10:15" x14ac:dyDescent="0.25">
      <c r="J478" s="9"/>
      <c r="K478" s="9"/>
      <c r="L478" s="9"/>
      <c r="M478" s="9"/>
      <c r="N478" s="9"/>
      <c r="O478" s="9"/>
    </row>
    <row r="479" spans="10:15" x14ac:dyDescent="0.25">
      <c r="J479" s="9"/>
      <c r="K479" s="9"/>
      <c r="L479" s="9"/>
      <c r="M479" s="9"/>
      <c r="N479" s="9"/>
      <c r="O479" s="9"/>
    </row>
    <row r="480" spans="10:15" x14ac:dyDescent="0.25">
      <c r="J480" s="9"/>
      <c r="K480" s="9"/>
      <c r="L480" s="9"/>
      <c r="M480" s="9"/>
      <c r="N480" s="9"/>
      <c r="O480" s="9"/>
    </row>
    <row r="481" spans="10:15" x14ac:dyDescent="0.25">
      <c r="J481" s="9"/>
      <c r="K481" s="9"/>
      <c r="L481" s="9"/>
      <c r="M481" s="9"/>
      <c r="N481" s="9"/>
      <c r="O481" s="9"/>
    </row>
    <row r="482" spans="10:15" x14ac:dyDescent="0.25">
      <c r="J482" s="9"/>
      <c r="K482" s="9"/>
      <c r="L482" s="9"/>
      <c r="M482" s="9"/>
      <c r="N482" s="9"/>
      <c r="O482" s="9"/>
    </row>
    <row r="483" spans="10:15" x14ac:dyDescent="0.25">
      <c r="J483" s="9"/>
      <c r="K483" s="9"/>
      <c r="L483" s="9"/>
      <c r="M483" s="9"/>
      <c r="N483" s="9"/>
      <c r="O483" s="9"/>
    </row>
    <row r="484" spans="10:15" x14ac:dyDescent="0.25">
      <c r="J484" s="9"/>
      <c r="K484" s="9"/>
      <c r="L484" s="9"/>
      <c r="M484" s="9"/>
      <c r="N484" s="9"/>
      <c r="O484" s="9"/>
    </row>
    <row r="485" spans="10:15" x14ac:dyDescent="0.25">
      <c r="J485" s="9"/>
      <c r="K485" s="9"/>
      <c r="L485" s="9"/>
      <c r="M485" s="9"/>
      <c r="N485" s="9"/>
      <c r="O485" s="9"/>
    </row>
    <row r="486" spans="10:15" x14ac:dyDescent="0.25">
      <c r="J486" s="9"/>
      <c r="K486" s="9"/>
      <c r="L486" s="9"/>
      <c r="M486" s="9"/>
      <c r="N486" s="9"/>
      <c r="O486" s="9"/>
    </row>
    <row r="487" spans="10:15" x14ac:dyDescent="0.25">
      <c r="J487" s="9"/>
      <c r="K487" s="9"/>
      <c r="L487" s="9"/>
      <c r="M487" s="9"/>
      <c r="N487" s="9"/>
      <c r="O487" s="9"/>
    </row>
    <row r="488" spans="10:15" x14ac:dyDescent="0.25">
      <c r="J488" s="9"/>
      <c r="K488" s="9"/>
      <c r="L488" s="9"/>
      <c r="M488" s="9"/>
      <c r="N488" s="9"/>
      <c r="O488" s="9"/>
    </row>
    <row r="489" spans="10:15" x14ac:dyDescent="0.25">
      <c r="J489" s="9"/>
      <c r="K489" s="9"/>
      <c r="L489" s="9"/>
      <c r="M489" s="9"/>
      <c r="N489" s="9"/>
      <c r="O489" s="9"/>
    </row>
    <row r="490" spans="10:15" x14ac:dyDescent="0.25">
      <c r="J490" s="9"/>
      <c r="K490" s="9"/>
      <c r="L490" s="9"/>
      <c r="M490" s="9"/>
      <c r="N490" s="9"/>
      <c r="O490" s="9"/>
    </row>
    <row r="491" spans="10:15" x14ac:dyDescent="0.25">
      <c r="J491" s="9"/>
      <c r="K491" s="9"/>
      <c r="L491" s="9"/>
      <c r="M491" s="9"/>
      <c r="N491" s="9"/>
      <c r="O491" s="9"/>
    </row>
    <row r="492" spans="10:15" x14ac:dyDescent="0.25">
      <c r="J492" s="9"/>
      <c r="K492" s="9"/>
      <c r="L492" s="9"/>
      <c r="M492" s="9"/>
      <c r="N492" s="9"/>
      <c r="O492" s="9"/>
    </row>
    <row r="493" spans="10:15" x14ac:dyDescent="0.25">
      <c r="J493" s="9"/>
      <c r="K493" s="9"/>
      <c r="L493" s="9"/>
      <c r="M493" s="9"/>
      <c r="N493" s="9"/>
      <c r="O493" s="9"/>
    </row>
    <row r="494" spans="10:15" x14ac:dyDescent="0.25">
      <c r="J494" s="9"/>
      <c r="K494" s="9"/>
      <c r="L494" s="9"/>
      <c r="M494" s="9"/>
      <c r="N494" s="9"/>
      <c r="O494" s="9"/>
    </row>
    <row r="495" spans="10:15" x14ac:dyDescent="0.25">
      <c r="J495" s="9"/>
      <c r="K495" s="9"/>
      <c r="L495" s="9"/>
      <c r="M495" s="9"/>
      <c r="N495" s="9"/>
      <c r="O495" s="9"/>
    </row>
    <row r="496" spans="10:15" x14ac:dyDescent="0.25">
      <c r="J496" s="9"/>
      <c r="K496" s="9"/>
      <c r="L496" s="9"/>
      <c r="M496" s="9"/>
      <c r="N496" s="9"/>
      <c r="O496" s="9"/>
    </row>
    <row r="497" spans="10:15" x14ac:dyDescent="0.25">
      <c r="J497" s="9"/>
      <c r="K497" s="9"/>
      <c r="L497" s="9"/>
      <c r="M497" s="9"/>
      <c r="N497" s="9"/>
      <c r="O497" s="9"/>
    </row>
    <row r="498" spans="10:15" x14ac:dyDescent="0.25">
      <c r="J498" s="9"/>
      <c r="K498" s="9"/>
      <c r="L498" s="9"/>
      <c r="M498" s="9"/>
      <c r="N498" s="9"/>
      <c r="O498" s="9"/>
    </row>
    <row r="499" spans="10:15" x14ac:dyDescent="0.25">
      <c r="J499" s="9"/>
      <c r="K499" s="9"/>
      <c r="L499" s="9"/>
      <c r="M499" s="9"/>
      <c r="N499" s="9"/>
      <c r="O499" s="9"/>
    </row>
    <row r="500" spans="10:15" x14ac:dyDescent="0.25">
      <c r="J500" s="9"/>
      <c r="K500" s="9"/>
      <c r="L500" s="9"/>
      <c r="M500" s="9"/>
      <c r="N500" s="9"/>
      <c r="O500" s="9"/>
    </row>
    <row r="501" spans="10:15" x14ac:dyDescent="0.25">
      <c r="J501" s="9"/>
      <c r="K501" s="9"/>
      <c r="L501" s="9"/>
      <c r="M501" s="9"/>
      <c r="N501" s="9"/>
      <c r="O501" s="9"/>
    </row>
    <row r="502" spans="10:15" x14ac:dyDescent="0.25">
      <c r="J502" s="9"/>
      <c r="K502" s="9"/>
      <c r="L502" s="9"/>
      <c r="M502" s="9"/>
      <c r="N502" s="9"/>
      <c r="O502" s="9"/>
    </row>
    <row r="503" spans="10:15" x14ac:dyDescent="0.25">
      <c r="J503" s="9"/>
      <c r="K503" s="9"/>
      <c r="L503" s="9"/>
      <c r="M503" s="9"/>
      <c r="N503" s="9"/>
      <c r="O503" s="9"/>
    </row>
    <row r="504" spans="10:15" x14ac:dyDescent="0.25">
      <c r="J504" s="9"/>
      <c r="K504" s="9"/>
      <c r="L504" s="9"/>
      <c r="M504" s="9"/>
      <c r="N504" s="9"/>
      <c r="O504" s="9"/>
    </row>
    <row r="505" spans="10:15" x14ac:dyDescent="0.25">
      <c r="J505" s="9"/>
      <c r="K505" s="9"/>
      <c r="L505" s="9"/>
      <c r="M505" s="9"/>
      <c r="N505" s="9"/>
      <c r="O505" s="9"/>
    </row>
    <row r="506" spans="10:15" x14ac:dyDescent="0.25">
      <c r="J506" s="9"/>
      <c r="K506" s="9"/>
      <c r="L506" s="9"/>
      <c r="M506" s="9"/>
      <c r="N506" s="9"/>
      <c r="O506" s="9"/>
    </row>
    <row r="507" spans="10:15" x14ac:dyDescent="0.25">
      <c r="J507" s="9"/>
      <c r="K507" s="9"/>
      <c r="L507" s="9"/>
      <c r="M507" s="9"/>
      <c r="N507" s="9"/>
      <c r="O507" s="9"/>
    </row>
    <row r="508" spans="10:15" x14ac:dyDescent="0.25">
      <c r="J508" s="9"/>
      <c r="K508" s="9"/>
      <c r="L508" s="9"/>
      <c r="M508" s="9"/>
      <c r="N508" s="9"/>
      <c r="O508" s="9"/>
    </row>
    <row r="509" spans="10:15" x14ac:dyDescent="0.25">
      <c r="J509" s="9"/>
      <c r="K509" s="9"/>
      <c r="L509" s="9"/>
      <c r="M509" s="9"/>
      <c r="N509" s="9"/>
      <c r="O509" s="9"/>
    </row>
    <row r="510" spans="10:15" x14ac:dyDescent="0.25">
      <c r="J510" s="9"/>
      <c r="K510" s="9"/>
      <c r="L510" s="9"/>
      <c r="M510" s="9"/>
      <c r="N510" s="9"/>
      <c r="O510" s="9"/>
    </row>
    <row r="511" spans="10:15" x14ac:dyDescent="0.25">
      <c r="J511" s="9"/>
      <c r="K511" s="9"/>
      <c r="L511" s="9"/>
      <c r="M511" s="9"/>
      <c r="N511" s="9"/>
      <c r="O511" s="9"/>
    </row>
    <row r="512" spans="10:15" x14ac:dyDescent="0.25">
      <c r="J512" s="9"/>
      <c r="K512" s="9"/>
      <c r="L512" s="9"/>
      <c r="M512" s="9"/>
      <c r="N512" s="9"/>
      <c r="O512" s="9"/>
    </row>
    <row r="513" spans="10:15" x14ac:dyDescent="0.25">
      <c r="J513" s="9"/>
      <c r="K513" s="9"/>
      <c r="L513" s="9"/>
      <c r="M513" s="9"/>
      <c r="N513" s="9"/>
      <c r="O513" s="9"/>
    </row>
    <row r="514" spans="10:15" x14ac:dyDescent="0.25">
      <c r="J514" s="9"/>
      <c r="K514" s="9"/>
      <c r="L514" s="9"/>
      <c r="M514" s="9"/>
      <c r="N514" s="9"/>
      <c r="O514" s="9"/>
    </row>
    <row r="515" spans="10:15" x14ac:dyDescent="0.25">
      <c r="J515" s="9"/>
      <c r="K515" s="9"/>
      <c r="L515" s="9"/>
      <c r="M515" s="9"/>
      <c r="N515" s="9"/>
      <c r="O515" s="9"/>
    </row>
    <row r="516" spans="10:15" x14ac:dyDescent="0.25">
      <c r="J516" s="9"/>
      <c r="K516" s="9"/>
      <c r="L516" s="9"/>
      <c r="M516" s="9"/>
      <c r="N516" s="9"/>
      <c r="O516" s="9"/>
    </row>
    <row r="517" spans="10:15" x14ac:dyDescent="0.25">
      <c r="J517" s="9"/>
      <c r="K517" s="9"/>
      <c r="L517" s="9"/>
      <c r="M517" s="9"/>
      <c r="N517" s="9"/>
      <c r="O517" s="9"/>
    </row>
    <row r="518" spans="10:15" x14ac:dyDescent="0.25">
      <c r="J518" s="9"/>
      <c r="K518" s="9"/>
      <c r="L518" s="9"/>
      <c r="M518" s="9"/>
      <c r="N518" s="9"/>
      <c r="O518" s="9"/>
    </row>
    <row r="519" spans="10:15" x14ac:dyDescent="0.25">
      <c r="J519" s="9"/>
      <c r="K519" s="9"/>
      <c r="L519" s="9"/>
      <c r="M519" s="9"/>
      <c r="N519" s="9"/>
      <c r="O519" s="9"/>
    </row>
    <row r="520" spans="10:15" x14ac:dyDescent="0.25">
      <c r="J520" s="9"/>
      <c r="K520" s="9"/>
      <c r="L520" s="9"/>
      <c r="M520" s="9"/>
      <c r="N520" s="9"/>
      <c r="O520" s="9"/>
    </row>
    <row r="521" spans="10:15" x14ac:dyDescent="0.25">
      <c r="J521" s="9"/>
      <c r="K521" s="9"/>
      <c r="L521" s="9"/>
      <c r="M521" s="9"/>
      <c r="N521" s="9"/>
      <c r="O521" s="9"/>
    </row>
    <row r="522" spans="10:15" x14ac:dyDescent="0.25">
      <c r="J522" s="9"/>
      <c r="K522" s="9"/>
      <c r="L522" s="9"/>
      <c r="M522" s="9"/>
      <c r="N522" s="9"/>
      <c r="O522" s="9"/>
    </row>
    <row r="523" spans="10:15" x14ac:dyDescent="0.25">
      <c r="J523" s="9"/>
      <c r="K523" s="9"/>
      <c r="L523" s="9"/>
      <c r="M523" s="9"/>
      <c r="N523" s="9"/>
      <c r="O523" s="9"/>
    </row>
    <row r="524" spans="10:15" x14ac:dyDescent="0.25">
      <c r="J524" s="9"/>
      <c r="K524" s="9"/>
      <c r="L524" s="9"/>
      <c r="M524" s="9"/>
      <c r="N524" s="9"/>
      <c r="O524" s="9"/>
    </row>
    <row r="525" spans="10:15" x14ac:dyDescent="0.25">
      <c r="J525" s="9"/>
      <c r="K525" s="9"/>
      <c r="L525" s="9"/>
      <c r="M525" s="9"/>
      <c r="N525" s="9"/>
      <c r="O525" s="9"/>
    </row>
    <row r="526" spans="10:15" x14ac:dyDescent="0.25">
      <c r="J526" s="9"/>
      <c r="K526" s="9"/>
      <c r="L526" s="9"/>
      <c r="M526" s="9"/>
      <c r="N526" s="9"/>
      <c r="O526" s="9"/>
    </row>
    <row r="527" spans="10:15" x14ac:dyDescent="0.25">
      <c r="J527" s="9"/>
      <c r="K527" s="9"/>
      <c r="L527" s="9"/>
      <c r="M527" s="9"/>
      <c r="N527" s="9"/>
      <c r="O527" s="9"/>
    </row>
    <row r="528" spans="10:15" x14ac:dyDescent="0.25">
      <c r="J528" s="9"/>
      <c r="K528" s="9"/>
      <c r="L528" s="9"/>
      <c r="M528" s="9"/>
      <c r="N528" s="9"/>
      <c r="O528" s="9"/>
    </row>
    <row r="529" spans="10:15" x14ac:dyDescent="0.25">
      <c r="J529" s="9"/>
      <c r="K529" s="9"/>
      <c r="L529" s="9"/>
      <c r="M529" s="9"/>
      <c r="N529" s="9"/>
      <c r="O529" s="9"/>
    </row>
    <row r="530" spans="10:15" x14ac:dyDescent="0.25">
      <c r="J530" s="9"/>
      <c r="K530" s="9"/>
      <c r="L530" s="9"/>
      <c r="M530" s="9"/>
      <c r="N530" s="9"/>
      <c r="O530" s="9"/>
    </row>
    <row r="531" spans="10:15" x14ac:dyDescent="0.25">
      <c r="J531" s="9"/>
      <c r="K531" s="9"/>
      <c r="L531" s="9"/>
      <c r="M531" s="9"/>
      <c r="N531" s="9"/>
      <c r="O531" s="9"/>
    </row>
    <row r="532" spans="10:15" x14ac:dyDescent="0.25">
      <c r="J532" s="9"/>
      <c r="K532" s="9"/>
      <c r="L532" s="9"/>
      <c r="M532" s="9"/>
      <c r="N532" s="9"/>
      <c r="O532" s="9"/>
    </row>
    <row r="533" spans="10:15" x14ac:dyDescent="0.25">
      <c r="J533" s="9"/>
      <c r="K533" s="9"/>
      <c r="L533" s="9"/>
      <c r="M533" s="9"/>
      <c r="N533" s="9"/>
      <c r="O533" s="9"/>
    </row>
    <row r="534" spans="10:15" x14ac:dyDescent="0.25">
      <c r="J534" s="9"/>
      <c r="K534" s="9"/>
      <c r="L534" s="9"/>
      <c r="M534" s="9"/>
      <c r="N534" s="9"/>
      <c r="O534" s="9"/>
    </row>
    <row r="535" spans="10:15" x14ac:dyDescent="0.25">
      <c r="J535" s="9"/>
      <c r="K535" s="9"/>
      <c r="L535" s="9"/>
      <c r="M535" s="9"/>
      <c r="N535" s="9"/>
      <c r="O535" s="9"/>
    </row>
    <row r="536" spans="10:15" x14ac:dyDescent="0.25">
      <c r="J536" s="9"/>
      <c r="K536" s="9"/>
      <c r="L536" s="9"/>
      <c r="M536" s="9"/>
      <c r="N536" s="9"/>
      <c r="O536" s="9"/>
    </row>
    <row r="537" spans="10:15" x14ac:dyDescent="0.25">
      <c r="J537" s="9"/>
      <c r="K537" s="9"/>
      <c r="L537" s="9"/>
      <c r="M537" s="9"/>
      <c r="N537" s="9"/>
      <c r="O537" s="9"/>
    </row>
    <row r="538" spans="10:15" x14ac:dyDescent="0.25">
      <c r="J538" s="9"/>
      <c r="K538" s="9"/>
      <c r="L538" s="9"/>
      <c r="M538" s="9"/>
      <c r="N538" s="9"/>
      <c r="O538" s="9"/>
    </row>
    <row r="539" spans="10:15" x14ac:dyDescent="0.25">
      <c r="J539" s="9"/>
      <c r="K539" s="9"/>
      <c r="L539" s="9"/>
      <c r="M539" s="9"/>
      <c r="N539" s="9"/>
      <c r="O539" s="9"/>
    </row>
    <row r="540" spans="10:15" x14ac:dyDescent="0.25">
      <c r="J540" s="9"/>
      <c r="K540" s="9"/>
      <c r="L540" s="9"/>
      <c r="M540" s="9"/>
      <c r="N540" s="9"/>
      <c r="O540" s="9"/>
    </row>
    <row r="541" spans="10:15" x14ac:dyDescent="0.25">
      <c r="J541" s="9"/>
      <c r="K541" s="9"/>
      <c r="L541" s="9"/>
      <c r="M541" s="9"/>
      <c r="N541" s="9"/>
      <c r="O541" s="9"/>
    </row>
    <row r="542" spans="10:15" x14ac:dyDescent="0.25">
      <c r="J542" s="9"/>
      <c r="K542" s="9"/>
      <c r="L542" s="9"/>
      <c r="M542" s="9"/>
      <c r="N542" s="9"/>
      <c r="O542" s="9"/>
    </row>
    <row r="543" spans="10:15" x14ac:dyDescent="0.25">
      <c r="J543" s="9"/>
      <c r="K543" s="9"/>
      <c r="L543" s="9"/>
      <c r="M543" s="9"/>
      <c r="N543" s="9"/>
      <c r="O543" s="9"/>
    </row>
    <row r="544" spans="10:15" x14ac:dyDescent="0.25">
      <c r="J544" s="9"/>
      <c r="K544" s="9"/>
      <c r="L544" s="9"/>
      <c r="M544" s="9"/>
      <c r="N544" s="9"/>
      <c r="O544" s="9"/>
    </row>
    <row r="545" spans="10:15" x14ac:dyDescent="0.25">
      <c r="J545" s="9"/>
      <c r="K545" s="9"/>
      <c r="L545" s="9"/>
      <c r="M545" s="9"/>
      <c r="N545" s="9"/>
      <c r="O545" s="9"/>
    </row>
    <row r="546" spans="10:15" x14ac:dyDescent="0.25">
      <c r="J546" s="9"/>
      <c r="K546" s="9"/>
      <c r="L546" s="9"/>
      <c r="M546" s="9"/>
      <c r="N546" s="9"/>
      <c r="O546" s="9"/>
    </row>
    <row r="547" spans="10:15" x14ac:dyDescent="0.25">
      <c r="J547" s="9"/>
      <c r="K547" s="9"/>
      <c r="L547" s="9"/>
      <c r="M547" s="9"/>
      <c r="N547" s="9"/>
      <c r="O547" s="9"/>
    </row>
    <row r="548" spans="10:15" x14ac:dyDescent="0.25">
      <c r="J548" s="9"/>
      <c r="K548" s="9"/>
      <c r="L548" s="9"/>
      <c r="M548" s="9"/>
      <c r="N548" s="9"/>
      <c r="O548" s="9"/>
    </row>
    <row r="549" spans="10:15" x14ac:dyDescent="0.25">
      <c r="J549" s="9"/>
      <c r="K549" s="9"/>
      <c r="L549" s="9"/>
      <c r="M549" s="9"/>
      <c r="N549" s="9"/>
      <c r="O549" s="9"/>
    </row>
    <row r="550" spans="10:15" x14ac:dyDescent="0.25">
      <c r="J550" s="9"/>
      <c r="K550" s="9"/>
      <c r="L550" s="9"/>
      <c r="M550" s="9"/>
      <c r="N550" s="9"/>
      <c r="O550" s="9"/>
    </row>
    <row r="551" spans="10:15" x14ac:dyDescent="0.25">
      <c r="J551" s="9"/>
      <c r="K551" s="9"/>
      <c r="L551" s="9"/>
      <c r="M551" s="9"/>
      <c r="N551" s="9"/>
      <c r="O551" s="9"/>
    </row>
    <row r="552" spans="10:15" x14ac:dyDescent="0.25">
      <c r="J552" s="9"/>
      <c r="K552" s="9"/>
      <c r="L552" s="9"/>
      <c r="M552" s="9"/>
      <c r="N552" s="9"/>
      <c r="O552" s="9"/>
    </row>
    <row r="553" spans="10:15" x14ac:dyDescent="0.25">
      <c r="J553" s="9"/>
      <c r="K553" s="9"/>
      <c r="L553" s="9"/>
      <c r="M553" s="9"/>
      <c r="N553" s="9"/>
      <c r="O553" s="9"/>
    </row>
    <row r="554" spans="10:15" x14ac:dyDescent="0.25">
      <c r="J554" s="9"/>
      <c r="K554" s="9"/>
      <c r="L554" s="9"/>
      <c r="M554" s="9"/>
      <c r="N554" s="9"/>
      <c r="O554" s="9"/>
    </row>
    <row r="555" spans="10:15" x14ac:dyDescent="0.25">
      <c r="J555" s="9"/>
      <c r="K555" s="9"/>
      <c r="L555" s="9"/>
      <c r="M555" s="9"/>
      <c r="N555" s="9"/>
      <c r="O555" s="9"/>
    </row>
    <row r="556" spans="10:15" x14ac:dyDescent="0.25">
      <c r="J556" s="9"/>
      <c r="K556" s="9"/>
      <c r="L556" s="9"/>
      <c r="M556" s="9"/>
      <c r="N556" s="9"/>
      <c r="O556" s="9"/>
    </row>
    <row r="557" spans="10:15" x14ac:dyDescent="0.25">
      <c r="J557" s="9"/>
      <c r="K557" s="9"/>
      <c r="L557" s="9"/>
      <c r="M557" s="9"/>
      <c r="N557" s="9"/>
      <c r="O557" s="9"/>
    </row>
    <row r="558" spans="10:15" x14ac:dyDescent="0.25">
      <c r="J558" s="9"/>
      <c r="K558" s="9"/>
      <c r="L558" s="9"/>
      <c r="M558" s="9"/>
      <c r="N558" s="9"/>
      <c r="O558" s="9"/>
    </row>
    <row r="559" spans="10:15" x14ac:dyDescent="0.25">
      <c r="J559" s="9"/>
      <c r="K559" s="9"/>
      <c r="L559" s="9"/>
      <c r="M559" s="9"/>
      <c r="N559" s="9"/>
      <c r="O559" s="9"/>
    </row>
    <row r="560" spans="10:15" x14ac:dyDescent="0.25">
      <c r="J560" s="9"/>
      <c r="K560" s="9"/>
      <c r="L560" s="9"/>
      <c r="M560" s="9"/>
      <c r="N560" s="9"/>
      <c r="O560" s="9"/>
    </row>
    <row r="561" spans="10:15" x14ac:dyDescent="0.25">
      <c r="J561" s="9"/>
      <c r="K561" s="9"/>
      <c r="L561" s="9"/>
      <c r="M561" s="9"/>
      <c r="N561" s="9"/>
      <c r="O561" s="9"/>
    </row>
    <row r="562" spans="10:15" x14ac:dyDescent="0.25">
      <c r="J562" s="9"/>
      <c r="K562" s="9"/>
      <c r="L562" s="9"/>
      <c r="M562" s="9"/>
      <c r="N562" s="9"/>
      <c r="O562" s="9"/>
    </row>
    <row r="563" spans="10:15" x14ac:dyDescent="0.25">
      <c r="J563" s="9"/>
      <c r="K563" s="9"/>
      <c r="L563" s="9"/>
      <c r="M563" s="9"/>
      <c r="N563" s="9"/>
      <c r="O563" s="9"/>
    </row>
    <row r="564" spans="10:15" x14ac:dyDescent="0.25">
      <c r="J564" s="9"/>
      <c r="K564" s="9"/>
      <c r="L564" s="9"/>
      <c r="M564" s="9"/>
      <c r="N564" s="9"/>
      <c r="O564" s="9"/>
    </row>
    <row r="565" spans="10:15" x14ac:dyDescent="0.25">
      <c r="J565" s="9"/>
      <c r="K565" s="9"/>
      <c r="L565" s="9"/>
      <c r="M565" s="9"/>
      <c r="N565" s="9"/>
      <c r="O565" s="9"/>
    </row>
    <row r="566" spans="10:15" x14ac:dyDescent="0.25">
      <c r="J566" s="9"/>
      <c r="K566" s="9"/>
      <c r="L566" s="9"/>
      <c r="M566" s="9"/>
      <c r="N566" s="9"/>
      <c r="O566" s="9"/>
    </row>
    <row r="567" spans="10:15" x14ac:dyDescent="0.25">
      <c r="J567" s="9"/>
      <c r="K567" s="9"/>
      <c r="L567" s="9"/>
      <c r="M567" s="9"/>
      <c r="N567" s="9"/>
      <c r="O567" s="9"/>
    </row>
    <row r="568" spans="10:15" x14ac:dyDescent="0.25">
      <c r="J568" s="9"/>
      <c r="K568" s="9"/>
      <c r="L568" s="9"/>
      <c r="M568" s="9"/>
      <c r="N568" s="9"/>
      <c r="O568" s="9"/>
    </row>
    <row r="569" spans="10:15" x14ac:dyDescent="0.25">
      <c r="J569" s="9"/>
      <c r="K569" s="9"/>
      <c r="L569" s="9"/>
      <c r="M569" s="9"/>
      <c r="N569" s="9"/>
      <c r="O569" s="9"/>
    </row>
    <row r="570" spans="10:15" x14ac:dyDescent="0.25">
      <c r="J570" s="9"/>
      <c r="K570" s="9"/>
      <c r="L570" s="9"/>
      <c r="M570" s="9"/>
      <c r="N570" s="9"/>
      <c r="O570" s="9"/>
    </row>
    <row r="571" spans="10:15" x14ac:dyDescent="0.25">
      <c r="J571" s="9"/>
      <c r="K571" s="9"/>
      <c r="L571" s="9"/>
      <c r="M571" s="9"/>
      <c r="N571" s="9"/>
      <c r="O571" s="9"/>
    </row>
  </sheetData>
  <conditionalFormatting sqref="H43:H65">
    <cfRule type="containsText" dxfId="20" priority="8" operator="containsText" text="101">
      <formula>NOT(ISERROR(SEARCH("101",H43)))</formula>
    </cfRule>
    <cfRule type="containsText" dxfId="19" priority="9" operator="containsText" text="011">
      <formula>NOT(ISERROR(SEARCH("011",H43)))</formula>
    </cfRule>
    <cfRule type="containsText" dxfId="18" priority="10" operator="containsText" text="010">
      <formula>NOT(ISERROR(SEARCH("010",H43)))</formula>
    </cfRule>
    <cfRule type="containsText" dxfId="17" priority="11" operator="containsText" text="001">
      <formula>NOT(ISERROR(SEARCH("001",H43)))</formula>
    </cfRule>
    <cfRule type="containsText" dxfId="16" priority="12" operator="containsText" text="000">
      <formula>NOT(ISERROR(SEARCH("000",H43)))</formula>
    </cfRule>
    <cfRule type="containsText" dxfId="15" priority="13" operator="containsText" text="110">
      <formula>NOT(ISERROR(SEARCH("110",H43)))</formula>
    </cfRule>
    <cfRule type="containsText" dxfId="14" priority="14" operator="containsText" text="100">
      <formula>NOT(ISERROR(SEARCH("100",H43)))</formula>
    </cfRule>
  </conditionalFormatting>
  <conditionalFormatting sqref="H74:H101">
    <cfRule type="containsText" dxfId="13" priority="1" operator="containsText" text="101">
      <formula>NOT(ISERROR(SEARCH("101",H74)))</formula>
    </cfRule>
    <cfRule type="containsText" dxfId="12" priority="2" operator="containsText" text="011">
      <formula>NOT(ISERROR(SEARCH("011",H74)))</formula>
    </cfRule>
    <cfRule type="containsText" dxfId="11" priority="3" operator="containsText" text="010">
      <formula>NOT(ISERROR(SEARCH("010",H74)))</formula>
    </cfRule>
    <cfRule type="containsText" dxfId="10" priority="4" operator="containsText" text="001">
      <formula>NOT(ISERROR(SEARCH("001",H74)))</formula>
    </cfRule>
    <cfRule type="containsText" dxfId="9" priority="5" operator="containsText" text="000">
      <formula>NOT(ISERROR(SEARCH("000",H74)))</formula>
    </cfRule>
    <cfRule type="containsText" dxfId="8" priority="6" operator="containsText" text="110">
      <formula>NOT(ISERROR(SEARCH("110",H74)))</formula>
    </cfRule>
    <cfRule type="containsText" dxfId="7" priority="7" operator="containsText" text="100">
      <formula>NOT(ISERROR(SEARCH("100",H74)))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68"/>
  <sheetViews>
    <sheetView zoomScale="70" zoomScaleNormal="70" workbookViewId="0">
      <selection activeCell="L50" sqref="L50"/>
    </sheetView>
  </sheetViews>
  <sheetFormatPr defaultRowHeight="15" x14ac:dyDescent="0.25"/>
  <sheetData>
    <row r="1" spans="1:25" x14ac:dyDescent="0.25">
      <c r="A1" s="24" t="s">
        <v>26</v>
      </c>
      <c r="B1" s="9"/>
      <c r="C1" s="9"/>
      <c r="D1" s="24"/>
      <c r="E1" s="9"/>
      <c r="F1" s="9"/>
      <c r="G1" s="9"/>
      <c r="H1" s="9"/>
    </row>
    <row r="2" spans="1:25" x14ac:dyDescent="0.25">
      <c r="A2" s="9"/>
      <c r="B2" s="9"/>
      <c r="C2" s="9"/>
      <c r="D2" s="9"/>
      <c r="E2" s="9" t="s">
        <v>41</v>
      </c>
      <c r="F2" s="9" t="s">
        <v>42</v>
      </c>
      <c r="G2" s="9" t="s">
        <v>43</v>
      </c>
      <c r="H2" s="9"/>
    </row>
    <row r="3" spans="1:25" x14ac:dyDescent="0.25">
      <c r="A3" s="9"/>
      <c r="B3" s="9"/>
      <c r="C3" s="9"/>
      <c r="D3" s="9"/>
      <c r="E3" s="9"/>
      <c r="F3" s="9"/>
      <c r="G3" s="9"/>
      <c r="H3" s="9"/>
    </row>
    <row r="4" spans="1:25" x14ac:dyDescent="0.25">
      <c r="A4" s="9"/>
      <c r="B4" s="9"/>
      <c r="C4" s="9"/>
      <c r="D4" s="9"/>
      <c r="E4" s="9"/>
      <c r="F4" s="9"/>
      <c r="G4" s="9"/>
      <c r="H4" s="9"/>
    </row>
    <row r="5" spans="1:25" x14ac:dyDescent="0.25">
      <c r="A5" s="9"/>
      <c r="B5" s="9"/>
      <c r="C5" s="9"/>
      <c r="D5" s="9"/>
      <c r="E5" s="10" t="s">
        <v>17</v>
      </c>
      <c r="F5" s="9">
        <v>0</v>
      </c>
      <c r="G5" s="9" t="str">
        <f>CONCATENATE(E5,F5)</f>
        <v>000</v>
      </c>
      <c r="H5" s="25" t="str">
        <f>G5</f>
        <v>000</v>
      </c>
    </row>
    <row r="6" spans="1:25" x14ac:dyDescent="0.25">
      <c r="A6" s="9"/>
      <c r="B6" s="9" t="b">
        <f>COUNT(A1:A6)&gt;0</f>
        <v>0</v>
      </c>
      <c r="C6" s="9">
        <f t="shared" ref="C6:C27" si="0">IF(A6="",FLOOR(C5/4,1),A6)</f>
        <v>0</v>
      </c>
      <c r="D6" s="9">
        <f>BITWISE_AND(C6,3)</f>
        <v>0</v>
      </c>
      <c r="E6" s="9" t="str">
        <f t="shared" ref="E6:E27" si="1">DEC2BIN(D6,2)</f>
        <v>00</v>
      </c>
      <c r="F6" s="9" t="str">
        <f t="shared" ref="F6:F23" si="2">IF(VALUE(E6)=VALUE(LEFT(G5,2)),IF(RIGHT(G5,1)="1","0","1"),RIGHT(G5,1))</f>
        <v>1</v>
      </c>
      <c r="G6" s="9" t="str">
        <f>IF(B6=TRUE,CONCATENATE(E6,F6),DEC2BIN(BITWISE_XOR(BIN2DEC(G5),7),3))</f>
        <v>111</v>
      </c>
      <c r="H6" s="25" t="str">
        <f t="shared" ref="H6:H27" si="3">G6</f>
        <v>111</v>
      </c>
    </row>
    <row r="7" spans="1:25" x14ac:dyDescent="0.25">
      <c r="A7" s="9"/>
      <c r="B7" s="9" t="b">
        <f>COUNT(A2:A7)&gt;0</f>
        <v>0</v>
      </c>
      <c r="C7" s="9">
        <f>IF(A7="",FLOOR(C6/4,1),A7)</f>
        <v>0</v>
      </c>
      <c r="D7" s="9">
        <f t="shared" ref="D7:D27" si="4">BITWISE_AND(C7,3)</f>
        <v>0</v>
      </c>
      <c r="E7" s="9" t="str">
        <f t="shared" si="1"/>
        <v>00</v>
      </c>
      <c r="F7" s="9" t="str">
        <f t="shared" si="2"/>
        <v>1</v>
      </c>
      <c r="G7" s="9" t="str">
        <f>IF(B7=TRUE,CONCATENATE(E7,F7),DEC2BIN(BITWISE_XOR(BIN2DEC(G6),7),3))</f>
        <v>000</v>
      </c>
      <c r="H7" s="25" t="str">
        <f t="shared" si="3"/>
        <v>000</v>
      </c>
    </row>
    <row r="8" spans="1:25" x14ac:dyDescent="0.25">
      <c r="A8" s="9"/>
      <c r="B8" s="9" t="b">
        <f t="shared" ref="B8:B27" si="5">COUNT(A5:A8)&gt;0</f>
        <v>0</v>
      </c>
      <c r="C8" s="9">
        <f t="shared" si="0"/>
        <v>0</v>
      </c>
      <c r="D8" s="9">
        <f t="shared" si="4"/>
        <v>0</v>
      </c>
      <c r="E8" s="9" t="str">
        <f t="shared" si="1"/>
        <v>00</v>
      </c>
      <c r="F8" s="9" t="str">
        <f t="shared" si="2"/>
        <v>1</v>
      </c>
      <c r="G8" s="9" t="str">
        <f>IF(B8=TRUE,CONCATENATE(E8,F8),DEC2BIN(BITWISE_XOR(BIN2DEC(G7),7),3))</f>
        <v>111</v>
      </c>
      <c r="H8" s="25" t="str">
        <f t="shared" si="3"/>
        <v>111</v>
      </c>
    </row>
    <row r="9" spans="1:25" x14ac:dyDescent="0.25">
      <c r="A9" s="9"/>
      <c r="B9" s="9" t="b">
        <f t="shared" si="5"/>
        <v>0</v>
      </c>
      <c r="C9" s="9">
        <f t="shared" si="0"/>
        <v>0</v>
      </c>
      <c r="D9" s="9">
        <f t="shared" si="4"/>
        <v>0</v>
      </c>
      <c r="E9" s="9" t="str">
        <f t="shared" si="1"/>
        <v>00</v>
      </c>
      <c r="F9" s="9" t="str">
        <f t="shared" si="2"/>
        <v>1</v>
      </c>
      <c r="G9" s="9" t="str">
        <f>IF(B9=TRUE,CONCATENATE(E9,F9),DEC2BIN(BITWISE_XOR(BIN2DEC(G8),7),3))</f>
        <v>000</v>
      </c>
      <c r="H9" s="25" t="str">
        <f t="shared" si="3"/>
        <v>000</v>
      </c>
    </row>
    <row r="10" spans="1:25" x14ac:dyDescent="0.25">
      <c r="A10" s="9">
        <v>72</v>
      </c>
      <c r="B10" s="9" t="b">
        <f t="shared" si="5"/>
        <v>1</v>
      </c>
      <c r="C10" s="9">
        <f t="shared" si="0"/>
        <v>72</v>
      </c>
      <c r="D10" s="9">
        <f t="shared" si="4"/>
        <v>0</v>
      </c>
      <c r="E10" s="9" t="str">
        <f t="shared" si="1"/>
        <v>00</v>
      </c>
      <c r="F10" s="9" t="str">
        <f t="shared" si="2"/>
        <v>1</v>
      </c>
      <c r="G10" s="9" t="str">
        <f>IF(B10=TRUE,CONCATENATE(E10,F10),DEC2BIN(BITWISE_XOR(BIN2DEC(G9),7),3))</f>
        <v>001</v>
      </c>
      <c r="H10" s="25" t="str">
        <f t="shared" si="3"/>
        <v>001</v>
      </c>
    </row>
    <row r="11" spans="1:25" x14ac:dyDescent="0.25">
      <c r="A11" s="9"/>
      <c r="B11" s="9" t="b">
        <f t="shared" si="5"/>
        <v>1</v>
      </c>
      <c r="C11" s="9">
        <f t="shared" si="0"/>
        <v>18</v>
      </c>
      <c r="D11" s="9">
        <f t="shared" si="4"/>
        <v>2</v>
      </c>
      <c r="E11" s="9" t="str">
        <f t="shared" si="1"/>
        <v>10</v>
      </c>
      <c r="F11" s="9" t="str">
        <f t="shared" si="2"/>
        <v>1</v>
      </c>
      <c r="G11" s="9" t="str">
        <f>IF(B11=TRUE,CONCATENATE(E11,F11),DEC2BIN(BITWISE_XOR(BIN2DEC(G10),7),3))</f>
        <v>101</v>
      </c>
      <c r="H11" s="25" t="str">
        <f t="shared" si="3"/>
        <v>101</v>
      </c>
    </row>
    <row r="12" spans="1:25" x14ac:dyDescent="0.25">
      <c r="A12" s="9"/>
      <c r="B12" s="9" t="b">
        <f t="shared" si="5"/>
        <v>1</v>
      </c>
      <c r="C12" s="9">
        <f t="shared" si="0"/>
        <v>4</v>
      </c>
      <c r="D12" s="9">
        <f t="shared" si="4"/>
        <v>0</v>
      </c>
      <c r="E12" s="9" t="str">
        <f t="shared" si="1"/>
        <v>00</v>
      </c>
      <c r="F12" s="9" t="str">
        <f t="shared" si="2"/>
        <v>1</v>
      </c>
      <c r="G12" s="9" t="str">
        <f>IF(B12=TRUE,CONCATENATE(E12,F12),DEC2BIN(BITWISE_XOR(BIN2DEC(G11),7),3))</f>
        <v>001</v>
      </c>
      <c r="H12" s="25" t="str">
        <f t="shared" si="3"/>
        <v>001</v>
      </c>
    </row>
    <row r="13" spans="1:25" x14ac:dyDescent="0.25">
      <c r="A13" s="9"/>
      <c r="B13" s="9" t="b">
        <f t="shared" si="5"/>
        <v>1</v>
      </c>
      <c r="C13" s="9">
        <f t="shared" si="0"/>
        <v>1</v>
      </c>
      <c r="D13" s="9">
        <f t="shared" si="4"/>
        <v>1</v>
      </c>
      <c r="E13" s="9" t="str">
        <f t="shared" si="1"/>
        <v>01</v>
      </c>
      <c r="F13" s="9" t="str">
        <f t="shared" si="2"/>
        <v>1</v>
      </c>
      <c r="G13" s="9" t="str">
        <f>IF(B13=TRUE,CONCATENATE(E13,F13),DEC2BIN(BITWISE_XOR(BIN2DEC(G12),7),3))</f>
        <v>011</v>
      </c>
      <c r="H13" s="25" t="str">
        <f t="shared" si="3"/>
        <v>011</v>
      </c>
      <c r="Y13">
        <v>72</v>
      </c>
    </row>
    <row r="14" spans="1:25" x14ac:dyDescent="0.25">
      <c r="A14" s="9">
        <v>101</v>
      </c>
      <c r="B14" s="9" t="b">
        <f t="shared" si="5"/>
        <v>1</v>
      </c>
      <c r="C14" s="9">
        <f t="shared" si="0"/>
        <v>101</v>
      </c>
      <c r="D14" s="9">
        <f t="shared" si="4"/>
        <v>1</v>
      </c>
      <c r="E14" s="9" t="str">
        <f t="shared" si="1"/>
        <v>01</v>
      </c>
      <c r="F14" s="9" t="str">
        <f t="shared" si="2"/>
        <v>0</v>
      </c>
      <c r="G14" s="9" t="str">
        <f>IF(B14=TRUE,CONCATENATE(E14,F14),DEC2BIN(BITWISE_XOR(BIN2DEC(G13),7),3))</f>
        <v>010</v>
      </c>
      <c r="H14" s="25" t="str">
        <f t="shared" si="3"/>
        <v>010</v>
      </c>
      <c r="Y14">
        <v>101</v>
      </c>
    </row>
    <row r="15" spans="1:25" x14ac:dyDescent="0.25">
      <c r="A15" s="9"/>
      <c r="B15" s="9" t="b">
        <f t="shared" si="5"/>
        <v>1</v>
      </c>
      <c r="C15" s="9">
        <f t="shared" si="0"/>
        <v>25</v>
      </c>
      <c r="D15" s="9">
        <f t="shared" si="4"/>
        <v>1</v>
      </c>
      <c r="E15" s="9" t="str">
        <f t="shared" si="1"/>
        <v>01</v>
      </c>
      <c r="F15" s="9" t="str">
        <f t="shared" si="2"/>
        <v>1</v>
      </c>
      <c r="G15" s="9" t="str">
        <f>IF(B15=TRUE,CONCATENATE(E15,F15),DEC2BIN(BITWISE_XOR(BIN2DEC(G14),7),3))</f>
        <v>011</v>
      </c>
      <c r="H15" s="25" t="str">
        <f t="shared" si="3"/>
        <v>011</v>
      </c>
      <c r="Y15">
        <v>108</v>
      </c>
    </row>
    <row r="16" spans="1:25" x14ac:dyDescent="0.25">
      <c r="A16" s="9"/>
      <c r="B16" s="9" t="b">
        <f t="shared" si="5"/>
        <v>1</v>
      </c>
      <c r="C16" s="9">
        <f t="shared" si="0"/>
        <v>6</v>
      </c>
      <c r="D16" s="9">
        <f t="shared" si="4"/>
        <v>2</v>
      </c>
      <c r="E16" s="9" t="str">
        <f t="shared" si="1"/>
        <v>10</v>
      </c>
      <c r="F16" s="9" t="str">
        <f t="shared" si="2"/>
        <v>1</v>
      </c>
      <c r="G16" s="9" t="str">
        <f>IF(B16=TRUE,CONCATENATE(E16,F16),DEC2BIN(BITWISE_XOR(BIN2DEC(G15),7),3))</f>
        <v>101</v>
      </c>
      <c r="H16" s="25" t="str">
        <f t="shared" si="3"/>
        <v>101</v>
      </c>
      <c r="Y16">
        <v>108</v>
      </c>
    </row>
    <row r="17" spans="1:25" x14ac:dyDescent="0.25">
      <c r="A17" s="9"/>
      <c r="B17" s="9" t="b">
        <f t="shared" si="5"/>
        <v>1</v>
      </c>
      <c r="C17" s="9">
        <f t="shared" si="0"/>
        <v>1</v>
      </c>
      <c r="D17" s="9">
        <f t="shared" si="4"/>
        <v>1</v>
      </c>
      <c r="E17" s="9" t="str">
        <f t="shared" si="1"/>
        <v>01</v>
      </c>
      <c r="F17" s="9" t="str">
        <f t="shared" si="2"/>
        <v>1</v>
      </c>
      <c r="G17" s="9" t="str">
        <f>IF(B17=TRUE,CONCATENATE(E17,F17),DEC2BIN(BITWISE_XOR(BIN2DEC(G16),7),3))</f>
        <v>011</v>
      </c>
      <c r="H17" s="25" t="str">
        <f t="shared" si="3"/>
        <v>011</v>
      </c>
      <c r="Y17">
        <v>111</v>
      </c>
    </row>
    <row r="18" spans="1:25" x14ac:dyDescent="0.25">
      <c r="A18" s="9"/>
      <c r="B18" s="9" t="b">
        <f t="shared" si="5"/>
        <v>0</v>
      </c>
      <c r="C18" s="9">
        <f t="shared" si="0"/>
        <v>0</v>
      </c>
      <c r="D18" s="9">
        <f t="shared" si="4"/>
        <v>0</v>
      </c>
      <c r="E18" s="9" t="str">
        <f t="shared" si="1"/>
        <v>00</v>
      </c>
      <c r="F18" s="9" t="str">
        <f t="shared" si="2"/>
        <v>1</v>
      </c>
      <c r="G18" s="9" t="str">
        <f>IF(B18=TRUE,CONCATENATE(E18,F18),DEC2BIN(BITWISE_XOR(BIN2DEC(G17),7),3))</f>
        <v>100</v>
      </c>
      <c r="H18" s="25" t="str">
        <f t="shared" si="3"/>
        <v>100</v>
      </c>
      <c r="Y18">
        <v>32</v>
      </c>
    </row>
    <row r="19" spans="1:25" x14ac:dyDescent="0.25">
      <c r="A19" s="9"/>
      <c r="B19" s="9" t="b">
        <f t="shared" si="5"/>
        <v>0</v>
      </c>
      <c r="C19" s="9">
        <f t="shared" si="0"/>
        <v>0</v>
      </c>
      <c r="D19" s="9">
        <f t="shared" si="4"/>
        <v>0</v>
      </c>
      <c r="E19" s="9" t="str">
        <f>DEC2BIN(D19,2)</f>
        <v>00</v>
      </c>
      <c r="F19" s="9" t="str">
        <f t="shared" si="2"/>
        <v>0</v>
      </c>
      <c r="G19" s="9" t="str">
        <f>IF(B19=TRUE,CONCATENATE(E19,F19),DEC2BIN(BITWISE_XOR(BIN2DEC(G18),7),3))</f>
        <v>011</v>
      </c>
      <c r="H19" s="25" t="str">
        <f t="shared" si="3"/>
        <v>011</v>
      </c>
      <c r="Y19">
        <v>87</v>
      </c>
    </row>
    <row r="20" spans="1:25" x14ac:dyDescent="0.25">
      <c r="A20" s="9">
        <v>108</v>
      </c>
      <c r="B20" s="9" t="b">
        <f t="shared" si="5"/>
        <v>1</v>
      </c>
      <c r="C20" s="9">
        <f t="shared" si="0"/>
        <v>108</v>
      </c>
      <c r="D20" s="9">
        <f t="shared" si="4"/>
        <v>0</v>
      </c>
      <c r="E20" s="9" t="str">
        <f t="shared" si="1"/>
        <v>00</v>
      </c>
      <c r="F20" s="9" t="str">
        <f t="shared" si="2"/>
        <v>1</v>
      </c>
      <c r="G20" s="9" t="str">
        <f>IF(B20=TRUE,CONCATENATE(E20,F20),DEC2BIN(BITWISE_XOR(BIN2DEC(G19),7),3))</f>
        <v>001</v>
      </c>
      <c r="H20" s="25" t="str">
        <f t="shared" si="3"/>
        <v>001</v>
      </c>
      <c r="Y20">
        <v>111</v>
      </c>
    </row>
    <row r="21" spans="1:25" x14ac:dyDescent="0.25">
      <c r="A21" s="9"/>
      <c r="B21" s="9" t="b">
        <f t="shared" si="5"/>
        <v>1</v>
      </c>
      <c r="C21" s="9">
        <f t="shared" si="0"/>
        <v>27</v>
      </c>
      <c r="D21" s="9">
        <f t="shared" si="4"/>
        <v>3</v>
      </c>
      <c r="E21" s="9" t="str">
        <f t="shared" si="1"/>
        <v>11</v>
      </c>
      <c r="F21" s="9" t="str">
        <f t="shared" si="2"/>
        <v>1</v>
      </c>
      <c r="G21" s="9" t="str">
        <f>IF(B21=TRUE,CONCATENATE(E21,F21),DEC2BIN(BITWISE_XOR(BIN2DEC(G20),7),3))</f>
        <v>111</v>
      </c>
      <c r="H21" s="25" t="str">
        <f t="shared" si="3"/>
        <v>111</v>
      </c>
      <c r="Y21">
        <v>114</v>
      </c>
    </row>
    <row r="22" spans="1:25" x14ac:dyDescent="0.25">
      <c r="A22" s="9"/>
      <c r="B22" s="9" t="b">
        <f t="shared" si="5"/>
        <v>1</v>
      </c>
      <c r="C22" s="9">
        <f t="shared" si="0"/>
        <v>6</v>
      </c>
      <c r="D22" s="9">
        <f t="shared" si="4"/>
        <v>2</v>
      </c>
      <c r="E22" s="9" t="str">
        <f t="shared" si="1"/>
        <v>10</v>
      </c>
      <c r="F22" s="9" t="str">
        <f t="shared" si="2"/>
        <v>1</v>
      </c>
      <c r="G22" s="9" t="str">
        <f>IF(B22=TRUE,CONCATENATE(E22,F22),DEC2BIN(BITWISE_XOR(BIN2DEC(G21),7),3))</f>
        <v>101</v>
      </c>
      <c r="H22" s="25" t="str">
        <f t="shared" si="3"/>
        <v>101</v>
      </c>
      <c r="Y22">
        <v>108</v>
      </c>
    </row>
    <row r="23" spans="1:25" x14ac:dyDescent="0.25">
      <c r="A23" s="9"/>
      <c r="B23" s="9" t="b">
        <f t="shared" si="5"/>
        <v>1</v>
      </c>
      <c r="C23" s="9">
        <f t="shared" si="0"/>
        <v>1</v>
      </c>
      <c r="D23" s="9">
        <f t="shared" si="4"/>
        <v>1</v>
      </c>
      <c r="E23" s="9" t="str">
        <f t="shared" si="1"/>
        <v>01</v>
      </c>
      <c r="F23" s="9" t="str">
        <f t="shared" si="2"/>
        <v>1</v>
      </c>
      <c r="G23" s="9" t="str">
        <f>IF(B23=TRUE,CONCATENATE(E23,F23),DEC2BIN(BITWISE_XOR(BIN2DEC(G22),7),3))</f>
        <v>011</v>
      </c>
      <c r="H23" s="25" t="str">
        <f t="shared" si="3"/>
        <v>011</v>
      </c>
      <c r="Y23">
        <v>100</v>
      </c>
    </row>
    <row r="24" spans="1:25" x14ac:dyDescent="0.25">
      <c r="A24" s="9">
        <v>108</v>
      </c>
      <c r="B24" s="9" t="b">
        <f t="shared" si="5"/>
        <v>1</v>
      </c>
      <c r="C24" s="9">
        <f t="shared" si="0"/>
        <v>108</v>
      </c>
      <c r="D24" s="9">
        <f t="shared" si="4"/>
        <v>0</v>
      </c>
      <c r="E24" s="9" t="str">
        <f t="shared" si="1"/>
        <v>00</v>
      </c>
      <c r="F24" s="9" t="str">
        <f>IF(VALUE(E24)=VALUE(LEFT(G23,2)),IF(RIGHT(G23,1)="1","0","1"),RIGHT(G23,1))</f>
        <v>1</v>
      </c>
      <c r="G24" s="9" t="str">
        <f>IF(B24=TRUE,CONCATENATE(E24,F24),DEC2BIN(BITWISE_XOR(BIN2DEC(G23),7),3))</f>
        <v>001</v>
      </c>
      <c r="H24" s="25" t="str">
        <f t="shared" si="3"/>
        <v>001</v>
      </c>
    </row>
    <row r="25" spans="1:25" x14ac:dyDescent="0.25">
      <c r="A25" s="9"/>
      <c r="B25" s="9" t="b">
        <f t="shared" si="5"/>
        <v>1</v>
      </c>
      <c r="C25" s="9">
        <f t="shared" si="0"/>
        <v>27</v>
      </c>
      <c r="D25" s="9">
        <f t="shared" si="4"/>
        <v>3</v>
      </c>
      <c r="E25" s="9" t="str">
        <f t="shared" si="1"/>
        <v>11</v>
      </c>
      <c r="F25" s="9" t="str">
        <f t="shared" ref="F25:F27" si="6">IF(VALUE(E25)=VALUE(LEFT(G24,2)),IF(RIGHT(G24,1)="1","0","1"),RIGHT(G24,1))</f>
        <v>1</v>
      </c>
      <c r="G25" s="9" t="str">
        <f>IF(B25=TRUE,CONCATENATE(E25,F25),DEC2BIN(BITWISE_XOR(BIN2DEC(G24),7),3))</f>
        <v>111</v>
      </c>
      <c r="H25" s="25" t="str">
        <f t="shared" si="3"/>
        <v>111</v>
      </c>
    </row>
    <row r="26" spans="1:25" x14ac:dyDescent="0.25">
      <c r="A26" s="9"/>
      <c r="B26" s="9" t="b">
        <f t="shared" si="5"/>
        <v>1</v>
      </c>
      <c r="C26" s="9">
        <f t="shared" si="0"/>
        <v>6</v>
      </c>
      <c r="D26" s="9">
        <f t="shared" si="4"/>
        <v>2</v>
      </c>
      <c r="E26" s="9" t="str">
        <f t="shared" si="1"/>
        <v>10</v>
      </c>
      <c r="F26" s="9" t="str">
        <f t="shared" si="6"/>
        <v>1</v>
      </c>
      <c r="G26" s="9" t="str">
        <f>IF(B26=TRUE,CONCATENATE(E26,F26),DEC2BIN(BITWISE_XOR(BIN2DEC(G25),7),3))</f>
        <v>101</v>
      </c>
      <c r="H26" s="25" t="str">
        <f t="shared" si="3"/>
        <v>101</v>
      </c>
    </row>
    <row r="27" spans="1:25" x14ac:dyDescent="0.25">
      <c r="A27" s="9"/>
      <c r="B27" s="9" t="b">
        <f t="shared" si="5"/>
        <v>1</v>
      </c>
      <c r="C27" s="9">
        <f t="shared" si="0"/>
        <v>1</v>
      </c>
      <c r="D27" s="9">
        <f t="shared" si="4"/>
        <v>1</v>
      </c>
      <c r="E27" s="9" t="str">
        <f t="shared" si="1"/>
        <v>01</v>
      </c>
      <c r="F27" s="9" t="str">
        <f t="shared" si="6"/>
        <v>1</v>
      </c>
      <c r="G27" s="9" t="str">
        <f>IF(B27=TRUE,CONCATENATE(E27,F27),DEC2BIN(BITWISE_XOR(BIN2DEC(G26),7),3))</f>
        <v>011</v>
      </c>
      <c r="H27" s="25" t="str">
        <f t="shared" si="3"/>
        <v>011</v>
      </c>
    </row>
    <row r="28" spans="1:25" x14ac:dyDescent="0.25">
      <c r="B28" s="9" t="b">
        <f t="shared" ref="B28:B47" si="7">COUNT(A25:A28)&gt;0</f>
        <v>0</v>
      </c>
      <c r="C28" s="9">
        <f t="shared" ref="C28:C47" si="8">IF(A28="",FLOOR(C27/4,1),A28)</f>
        <v>0</v>
      </c>
      <c r="D28" s="9">
        <f t="shared" ref="D28:D47" si="9">BITWISE_AND(C28,3)</f>
        <v>0</v>
      </c>
      <c r="E28" s="9" t="str">
        <f t="shared" ref="E28:E47" si="10">DEC2BIN(D28,2)</f>
        <v>00</v>
      </c>
      <c r="F28" s="9" t="str">
        <f t="shared" ref="F28:F47" si="11">IF(VALUE(E28)=VALUE(LEFT(G27,2)),IF(RIGHT(G27,1)="1","0","1"),RIGHT(G27,1))</f>
        <v>1</v>
      </c>
      <c r="G28" s="9" t="str">
        <f>IF(B28=TRUE,CONCATENATE(E28,F28),DEC2BIN(BITWISE_XOR(BIN2DEC(G27),7),3))</f>
        <v>100</v>
      </c>
      <c r="H28" s="25" t="str">
        <f t="shared" ref="H28:H47" si="12">G28</f>
        <v>100</v>
      </c>
    </row>
    <row r="29" spans="1:25" x14ac:dyDescent="0.25">
      <c r="B29" s="9" t="b">
        <f t="shared" si="7"/>
        <v>0</v>
      </c>
      <c r="C29" s="9">
        <f t="shared" si="8"/>
        <v>0</v>
      </c>
      <c r="D29" s="9">
        <f t="shared" si="9"/>
        <v>0</v>
      </c>
      <c r="E29" s="9" t="str">
        <f t="shared" si="10"/>
        <v>00</v>
      </c>
      <c r="F29" s="9" t="str">
        <f t="shared" si="11"/>
        <v>0</v>
      </c>
      <c r="G29" s="9" t="str">
        <f>IF(B29=TRUE,CONCATENATE(E29,F29),DEC2BIN(BITWISE_XOR(BIN2DEC(G28),7),3))</f>
        <v>011</v>
      </c>
      <c r="H29" s="25" t="str">
        <f t="shared" si="12"/>
        <v>011</v>
      </c>
    </row>
    <row r="30" spans="1:25" x14ac:dyDescent="0.25">
      <c r="B30" s="9" t="b">
        <f t="shared" si="7"/>
        <v>0</v>
      </c>
      <c r="C30" s="9">
        <f t="shared" si="8"/>
        <v>0</v>
      </c>
      <c r="D30" s="9">
        <f t="shared" si="9"/>
        <v>0</v>
      </c>
      <c r="E30" s="9" t="str">
        <f t="shared" si="10"/>
        <v>00</v>
      </c>
      <c r="F30" s="9" t="str">
        <f t="shared" si="11"/>
        <v>1</v>
      </c>
      <c r="G30" s="9" t="str">
        <f>IF(B30=TRUE,CONCATENATE(E30,F30),DEC2BIN(BITWISE_XOR(BIN2DEC(G29),7),3))</f>
        <v>100</v>
      </c>
      <c r="H30" s="25" t="str">
        <f t="shared" si="12"/>
        <v>100</v>
      </c>
    </row>
    <row r="31" spans="1:25" x14ac:dyDescent="0.25">
      <c r="B31" s="9" t="b">
        <f t="shared" si="7"/>
        <v>0</v>
      </c>
      <c r="C31" s="9">
        <f t="shared" si="8"/>
        <v>0</v>
      </c>
      <c r="D31" s="9">
        <f t="shared" si="9"/>
        <v>0</v>
      </c>
      <c r="E31" s="9" t="str">
        <f t="shared" si="10"/>
        <v>00</v>
      </c>
      <c r="F31" s="9" t="str">
        <f t="shared" si="11"/>
        <v>0</v>
      </c>
      <c r="G31" s="9" t="str">
        <f>IF(B31=TRUE,CONCATENATE(E31,F31),DEC2BIN(BITWISE_XOR(BIN2DEC(G30),7),3))</f>
        <v>011</v>
      </c>
      <c r="H31" s="25" t="str">
        <f t="shared" si="12"/>
        <v>011</v>
      </c>
    </row>
    <row r="32" spans="1:25" x14ac:dyDescent="0.25">
      <c r="B32" s="9" t="b">
        <f t="shared" si="7"/>
        <v>0</v>
      </c>
      <c r="C32" s="9">
        <f t="shared" si="8"/>
        <v>0</v>
      </c>
      <c r="D32" s="9">
        <f t="shared" si="9"/>
        <v>0</v>
      </c>
      <c r="E32" s="9" t="str">
        <f t="shared" si="10"/>
        <v>00</v>
      </c>
      <c r="F32" s="9" t="str">
        <f t="shared" si="11"/>
        <v>1</v>
      </c>
      <c r="G32" s="9" t="str">
        <f>IF(B32=TRUE,CONCATENATE(E32,F32),DEC2BIN(BITWISE_XOR(BIN2DEC(G31),7),3))</f>
        <v>100</v>
      </c>
      <c r="H32" s="25" t="str">
        <f t="shared" si="12"/>
        <v>100</v>
      </c>
    </row>
    <row r="33" spans="1:8" x14ac:dyDescent="0.25">
      <c r="A33">
        <v>111</v>
      </c>
      <c r="B33" s="9" t="b">
        <f t="shared" si="7"/>
        <v>1</v>
      </c>
      <c r="C33" s="9">
        <f t="shared" si="8"/>
        <v>111</v>
      </c>
      <c r="D33" s="9">
        <f t="shared" si="9"/>
        <v>3</v>
      </c>
      <c r="E33" s="9" t="str">
        <f t="shared" si="10"/>
        <v>11</v>
      </c>
      <c r="F33" s="9" t="str">
        <f t="shared" si="11"/>
        <v>0</v>
      </c>
      <c r="G33" s="9" t="str">
        <f>IF(B33=TRUE,CONCATENATE(E33,F33),DEC2BIN(BITWISE_XOR(BIN2DEC(G32),7),3))</f>
        <v>110</v>
      </c>
      <c r="H33" s="25" t="str">
        <f t="shared" si="12"/>
        <v>110</v>
      </c>
    </row>
    <row r="34" spans="1:8" x14ac:dyDescent="0.25">
      <c r="B34" s="9" t="b">
        <f t="shared" si="7"/>
        <v>1</v>
      </c>
      <c r="C34" s="9">
        <f t="shared" si="8"/>
        <v>27</v>
      </c>
      <c r="D34" s="9">
        <f t="shared" si="9"/>
        <v>3</v>
      </c>
      <c r="E34" s="9" t="str">
        <f t="shared" si="10"/>
        <v>11</v>
      </c>
      <c r="F34" s="9" t="str">
        <f t="shared" si="11"/>
        <v>1</v>
      </c>
      <c r="G34" s="9" t="str">
        <f>IF(B34=TRUE,CONCATENATE(E34,F34),DEC2BIN(BITWISE_XOR(BIN2DEC(G33),7),3))</f>
        <v>111</v>
      </c>
      <c r="H34" s="25" t="str">
        <f t="shared" si="12"/>
        <v>111</v>
      </c>
    </row>
    <row r="35" spans="1:8" x14ac:dyDescent="0.25">
      <c r="B35" s="9" t="b">
        <f t="shared" si="7"/>
        <v>1</v>
      </c>
      <c r="C35" s="9">
        <f t="shared" si="8"/>
        <v>6</v>
      </c>
      <c r="D35" s="9">
        <f t="shared" si="9"/>
        <v>2</v>
      </c>
      <c r="E35" s="9" t="str">
        <f t="shared" si="10"/>
        <v>10</v>
      </c>
      <c r="F35" s="9" t="str">
        <f t="shared" si="11"/>
        <v>1</v>
      </c>
      <c r="G35" s="9" t="str">
        <f>IF(B35=TRUE,CONCATENATE(E35,F35),DEC2BIN(BITWISE_XOR(BIN2DEC(G34),7),3))</f>
        <v>101</v>
      </c>
      <c r="H35" s="25" t="str">
        <f t="shared" si="12"/>
        <v>101</v>
      </c>
    </row>
    <row r="36" spans="1:8" x14ac:dyDescent="0.25">
      <c r="B36" s="9" t="b">
        <f t="shared" si="7"/>
        <v>1</v>
      </c>
      <c r="C36" s="9">
        <f t="shared" si="8"/>
        <v>1</v>
      </c>
      <c r="D36" s="9">
        <f t="shared" si="9"/>
        <v>1</v>
      </c>
      <c r="E36" s="9" t="str">
        <f t="shared" si="10"/>
        <v>01</v>
      </c>
      <c r="F36" s="9" t="str">
        <f t="shared" si="11"/>
        <v>1</v>
      </c>
      <c r="G36" s="9" t="str">
        <f>IF(B36=TRUE,CONCATENATE(E36,F36),DEC2BIN(BITWISE_XOR(BIN2DEC(G35),7),3))</f>
        <v>011</v>
      </c>
      <c r="H36" s="25" t="str">
        <f t="shared" si="12"/>
        <v>011</v>
      </c>
    </row>
    <row r="37" spans="1:8" x14ac:dyDescent="0.25">
      <c r="A37">
        <v>32</v>
      </c>
      <c r="B37" s="9" t="b">
        <f t="shared" si="7"/>
        <v>1</v>
      </c>
      <c r="C37" s="9">
        <f t="shared" si="8"/>
        <v>32</v>
      </c>
      <c r="D37" s="9">
        <f t="shared" si="9"/>
        <v>0</v>
      </c>
      <c r="E37" s="9" t="str">
        <f t="shared" si="10"/>
        <v>00</v>
      </c>
      <c r="F37" s="9" t="str">
        <f t="shared" si="11"/>
        <v>1</v>
      </c>
      <c r="G37" s="9" t="str">
        <f>IF(B37=TRUE,CONCATENATE(E37,F37),DEC2BIN(BITWISE_XOR(BIN2DEC(G36),7),3))</f>
        <v>001</v>
      </c>
      <c r="H37" s="25" t="str">
        <f t="shared" si="12"/>
        <v>001</v>
      </c>
    </row>
    <row r="38" spans="1:8" x14ac:dyDescent="0.25">
      <c r="B38" s="9" t="b">
        <f t="shared" si="7"/>
        <v>1</v>
      </c>
      <c r="C38" s="9">
        <f t="shared" si="8"/>
        <v>8</v>
      </c>
      <c r="D38" s="9">
        <f t="shared" si="9"/>
        <v>0</v>
      </c>
      <c r="E38" s="9" t="str">
        <f t="shared" si="10"/>
        <v>00</v>
      </c>
      <c r="F38" s="9" t="str">
        <f t="shared" si="11"/>
        <v>0</v>
      </c>
      <c r="G38" s="9" t="str">
        <f>IF(B38=TRUE,CONCATENATE(E38,F38),DEC2BIN(BITWISE_XOR(BIN2DEC(G37),7),3))</f>
        <v>000</v>
      </c>
      <c r="H38" s="25" t="str">
        <f t="shared" si="12"/>
        <v>000</v>
      </c>
    </row>
    <row r="39" spans="1:8" x14ac:dyDescent="0.25">
      <c r="B39" s="9" t="b">
        <f t="shared" si="7"/>
        <v>1</v>
      </c>
      <c r="C39" s="9">
        <f t="shared" si="8"/>
        <v>2</v>
      </c>
      <c r="D39" s="9">
        <f t="shared" si="9"/>
        <v>2</v>
      </c>
      <c r="E39" s="9" t="str">
        <f t="shared" si="10"/>
        <v>10</v>
      </c>
      <c r="F39" s="9" t="str">
        <f t="shared" si="11"/>
        <v>0</v>
      </c>
      <c r="G39" s="9" t="str">
        <f>IF(B39=TRUE,CONCATENATE(E39,F39),DEC2BIN(BITWISE_XOR(BIN2DEC(G38),7),3))</f>
        <v>100</v>
      </c>
      <c r="H39" s="25" t="str">
        <f t="shared" si="12"/>
        <v>100</v>
      </c>
    </row>
    <row r="40" spans="1:8" x14ac:dyDescent="0.25">
      <c r="B40" s="9" t="b">
        <f t="shared" si="7"/>
        <v>1</v>
      </c>
      <c r="C40" s="9">
        <f t="shared" si="8"/>
        <v>0</v>
      </c>
      <c r="D40" s="9">
        <f t="shared" si="9"/>
        <v>0</v>
      </c>
      <c r="E40" s="9" t="str">
        <f t="shared" si="10"/>
        <v>00</v>
      </c>
      <c r="F40" s="9" t="str">
        <f t="shared" si="11"/>
        <v>0</v>
      </c>
      <c r="G40" s="9" t="str">
        <f>IF(B40=TRUE,CONCATENATE(E40,F40),DEC2BIN(BITWISE_XOR(BIN2DEC(G39),7),3))</f>
        <v>000</v>
      </c>
      <c r="H40" s="25" t="str">
        <f t="shared" si="12"/>
        <v>000</v>
      </c>
    </row>
    <row r="41" spans="1:8" x14ac:dyDescent="0.25">
      <c r="A41">
        <v>87</v>
      </c>
      <c r="B41" s="9" t="b">
        <f t="shared" si="7"/>
        <v>1</v>
      </c>
      <c r="C41" s="9">
        <f t="shared" si="8"/>
        <v>87</v>
      </c>
      <c r="D41" s="9">
        <f t="shared" si="9"/>
        <v>3</v>
      </c>
      <c r="E41" s="9" t="str">
        <f t="shared" si="10"/>
        <v>11</v>
      </c>
      <c r="F41" s="9" t="str">
        <f t="shared" si="11"/>
        <v>0</v>
      </c>
      <c r="G41" s="9" t="str">
        <f>IF(B41=TRUE,CONCATENATE(E41,F41),DEC2BIN(BITWISE_XOR(BIN2DEC(G40),7),3))</f>
        <v>110</v>
      </c>
      <c r="H41" s="25" t="str">
        <f t="shared" si="12"/>
        <v>110</v>
      </c>
    </row>
    <row r="42" spans="1:8" x14ac:dyDescent="0.25">
      <c r="B42" s="9" t="b">
        <f t="shared" si="7"/>
        <v>1</v>
      </c>
      <c r="C42" s="9">
        <f t="shared" si="8"/>
        <v>21</v>
      </c>
      <c r="D42" s="9">
        <f t="shared" si="9"/>
        <v>1</v>
      </c>
      <c r="E42" s="9" t="str">
        <f t="shared" si="10"/>
        <v>01</v>
      </c>
      <c r="F42" s="9" t="str">
        <f t="shared" si="11"/>
        <v>0</v>
      </c>
      <c r="G42" s="9" t="str">
        <f>IF(B42=TRUE,CONCATENATE(E42,F42),DEC2BIN(BITWISE_XOR(BIN2DEC(G41),7),3))</f>
        <v>010</v>
      </c>
      <c r="H42" s="25" t="str">
        <f t="shared" si="12"/>
        <v>010</v>
      </c>
    </row>
    <row r="43" spans="1:8" x14ac:dyDescent="0.25">
      <c r="B43" s="9" t="b">
        <f t="shared" si="7"/>
        <v>1</v>
      </c>
      <c r="C43" s="9">
        <f t="shared" si="8"/>
        <v>5</v>
      </c>
      <c r="D43" s="9">
        <f t="shared" si="9"/>
        <v>1</v>
      </c>
      <c r="E43" s="9" t="str">
        <f t="shared" si="10"/>
        <v>01</v>
      </c>
      <c r="F43" s="9" t="str">
        <f t="shared" si="11"/>
        <v>1</v>
      </c>
      <c r="G43" s="9" t="str">
        <f>IF(B43=TRUE,CONCATENATE(E43,F43),DEC2BIN(BITWISE_XOR(BIN2DEC(G42),7),3))</f>
        <v>011</v>
      </c>
      <c r="H43" s="25" t="str">
        <f t="shared" si="12"/>
        <v>011</v>
      </c>
    </row>
    <row r="44" spans="1:8" x14ac:dyDescent="0.25">
      <c r="B44" s="9" t="b">
        <f t="shared" si="7"/>
        <v>1</v>
      </c>
      <c r="C44" s="9">
        <f t="shared" si="8"/>
        <v>1</v>
      </c>
      <c r="D44" s="9">
        <f t="shared" si="9"/>
        <v>1</v>
      </c>
      <c r="E44" s="9" t="str">
        <f t="shared" si="10"/>
        <v>01</v>
      </c>
      <c r="F44" s="9" t="str">
        <f t="shared" si="11"/>
        <v>0</v>
      </c>
      <c r="G44" s="9" t="str">
        <f>IF(B44=TRUE,CONCATENATE(E44,F44),DEC2BIN(BITWISE_XOR(BIN2DEC(G43),7),3))</f>
        <v>010</v>
      </c>
      <c r="H44" s="25" t="str">
        <f t="shared" si="12"/>
        <v>010</v>
      </c>
    </row>
    <row r="45" spans="1:8" x14ac:dyDescent="0.25">
      <c r="A45">
        <v>111</v>
      </c>
      <c r="B45" s="9" t="b">
        <f t="shared" si="7"/>
        <v>1</v>
      </c>
      <c r="C45" s="9">
        <f t="shared" si="8"/>
        <v>111</v>
      </c>
      <c r="D45" s="9">
        <f t="shared" si="9"/>
        <v>3</v>
      </c>
      <c r="E45" s="9" t="str">
        <f t="shared" si="10"/>
        <v>11</v>
      </c>
      <c r="F45" s="9" t="str">
        <f t="shared" si="11"/>
        <v>0</v>
      </c>
      <c r="G45" s="9" t="str">
        <f>IF(B45=TRUE,CONCATENATE(E45,F45),DEC2BIN(BITWISE_XOR(BIN2DEC(G44),7),3))</f>
        <v>110</v>
      </c>
      <c r="H45" s="25" t="str">
        <f t="shared" si="12"/>
        <v>110</v>
      </c>
    </row>
    <row r="46" spans="1:8" x14ac:dyDescent="0.25">
      <c r="B46" s="9" t="b">
        <f t="shared" si="7"/>
        <v>1</v>
      </c>
      <c r="C46" s="9">
        <f t="shared" si="8"/>
        <v>27</v>
      </c>
      <c r="D46" s="9">
        <f t="shared" si="9"/>
        <v>3</v>
      </c>
      <c r="E46" s="9" t="str">
        <f t="shared" si="10"/>
        <v>11</v>
      </c>
      <c r="F46" s="9" t="str">
        <f t="shared" si="11"/>
        <v>1</v>
      </c>
      <c r="G46" s="9" t="str">
        <f>IF(B46=TRUE,CONCATENATE(E46,F46),DEC2BIN(BITWISE_XOR(BIN2DEC(G45),7),3))</f>
        <v>111</v>
      </c>
      <c r="H46" s="25" t="str">
        <f t="shared" si="12"/>
        <v>111</v>
      </c>
    </row>
    <row r="47" spans="1:8" x14ac:dyDescent="0.25">
      <c r="B47" s="9" t="b">
        <f t="shared" si="7"/>
        <v>1</v>
      </c>
      <c r="C47" s="9">
        <f t="shared" si="8"/>
        <v>6</v>
      </c>
      <c r="D47" s="9">
        <f t="shared" si="9"/>
        <v>2</v>
      </c>
      <c r="E47" s="9" t="str">
        <f t="shared" si="10"/>
        <v>10</v>
      </c>
      <c r="F47" s="9" t="str">
        <f t="shared" si="11"/>
        <v>1</v>
      </c>
      <c r="G47" s="9" t="str">
        <f>IF(B47=TRUE,CONCATENATE(E47,F47),DEC2BIN(BITWISE_XOR(BIN2DEC(G46),7),3))</f>
        <v>101</v>
      </c>
      <c r="H47" s="25" t="str">
        <f t="shared" si="12"/>
        <v>101</v>
      </c>
    </row>
    <row r="48" spans="1:8" x14ac:dyDescent="0.25">
      <c r="B48" s="9" t="b">
        <f t="shared" ref="B48:B61" si="13">COUNT(A45:A48)&gt;0</f>
        <v>1</v>
      </c>
      <c r="C48" s="9">
        <f t="shared" ref="C48:C61" si="14">IF(A48="",FLOOR(C47/4,1),A48)</f>
        <v>1</v>
      </c>
      <c r="D48" s="9">
        <f t="shared" ref="D48:D61" si="15">BITWISE_AND(C48,3)</f>
        <v>1</v>
      </c>
      <c r="E48" s="9" t="str">
        <f t="shared" ref="E48:E61" si="16">DEC2BIN(D48,2)</f>
        <v>01</v>
      </c>
      <c r="F48" s="9" t="str">
        <f t="shared" ref="F48:F61" si="17">IF(VALUE(E48)=VALUE(LEFT(G47,2)),IF(RIGHT(G47,1)="1","0","1"),RIGHT(G47,1))</f>
        <v>1</v>
      </c>
      <c r="G48" s="9" t="str">
        <f>IF(B48=TRUE,CONCATENATE(E48,F48),DEC2BIN(BITWISE_XOR(BIN2DEC(G47),7),3))</f>
        <v>011</v>
      </c>
      <c r="H48" s="25" t="str">
        <f t="shared" ref="H48:H61" si="18">G48</f>
        <v>011</v>
      </c>
    </row>
    <row r="49" spans="1:8" x14ac:dyDescent="0.25">
      <c r="A49">
        <v>114</v>
      </c>
      <c r="B49" s="9" t="b">
        <f t="shared" si="13"/>
        <v>1</v>
      </c>
      <c r="C49" s="9">
        <f t="shared" si="14"/>
        <v>114</v>
      </c>
      <c r="D49" s="9">
        <f t="shared" si="15"/>
        <v>2</v>
      </c>
      <c r="E49" s="9" t="str">
        <f t="shared" si="16"/>
        <v>10</v>
      </c>
      <c r="F49" s="9" t="str">
        <f t="shared" si="17"/>
        <v>1</v>
      </c>
      <c r="G49" s="9" t="str">
        <f>IF(B49=TRUE,CONCATENATE(E49,F49),DEC2BIN(BITWISE_XOR(BIN2DEC(G48),7),3))</f>
        <v>101</v>
      </c>
      <c r="H49" s="25" t="str">
        <f t="shared" si="18"/>
        <v>101</v>
      </c>
    </row>
    <row r="50" spans="1:8" x14ac:dyDescent="0.25">
      <c r="B50" s="9" t="b">
        <f t="shared" si="13"/>
        <v>1</v>
      </c>
      <c r="C50" s="9">
        <f t="shared" si="14"/>
        <v>28</v>
      </c>
      <c r="D50" s="9">
        <f t="shared" si="15"/>
        <v>0</v>
      </c>
      <c r="E50" s="9" t="str">
        <f t="shared" si="16"/>
        <v>00</v>
      </c>
      <c r="F50" s="9" t="str">
        <f t="shared" si="17"/>
        <v>1</v>
      </c>
      <c r="G50" s="9" t="str">
        <f>IF(B50=TRUE,CONCATENATE(E50,F50),DEC2BIN(BITWISE_XOR(BIN2DEC(G49),7),3))</f>
        <v>001</v>
      </c>
      <c r="H50" s="25" t="str">
        <f t="shared" si="18"/>
        <v>001</v>
      </c>
    </row>
    <row r="51" spans="1:8" x14ac:dyDescent="0.25">
      <c r="B51" s="9" t="b">
        <f t="shared" si="13"/>
        <v>1</v>
      </c>
      <c r="C51" s="9">
        <f t="shared" si="14"/>
        <v>7</v>
      </c>
      <c r="D51" s="9">
        <f t="shared" si="15"/>
        <v>3</v>
      </c>
      <c r="E51" s="9" t="str">
        <f t="shared" si="16"/>
        <v>11</v>
      </c>
      <c r="F51" s="9" t="str">
        <f t="shared" si="17"/>
        <v>1</v>
      </c>
      <c r="G51" s="9" t="str">
        <f>IF(B51=TRUE,CONCATENATE(E51,F51),DEC2BIN(BITWISE_XOR(BIN2DEC(G50),7),3))</f>
        <v>111</v>
      </c>
      <c r="H51" s="25" t="str">
        <f t="shared" si="18"/>
        <v>111</v>
      </c>
    </row>
    <row r="52" spans="1:8" x14ac:dyDescent="0.25">
      <c r="B52" s="9" t="b">
        <f t="shared" si="13"/>
        <v>1</v>
      </c>
      <c r="C52" s="9">
        <f t="shared" si="14"/>
        <v>1</v>
      </c>
      <c r="D52" s="9">
        <f t="shared" si="15"/>
        <v>1</v>
      </c>
      <c r="E52" s="9" t="str">
        <f t="shared" si="16"/>
        <v>01</v>
      </c>
      <c r="F52" s="9" t="str">
        <f t="shared" si="17"/>
        <v>1</v>
      </c>
      <c r="G52" s="9" t="str">
        <f>IF(B52=TRUE,CONCATENATE(E52,F52),DEC2BIN(BITWISE_XOR(BIN2DEC(G51),7),3))</f>
        <v>011</v>
      </c>
      <c r="H52" s="25" t="str">
        <f t="shared" si="18"/>
        <v>011</v>
      </c>
    </row>
    <row r="53" spans="1:8" x14ac:dyDescent="0.25">
      <c r="A53">
        <v>108</v>
      </c>
      <c r="B53" s="9" t="b">
        <f t="shared" si="13"/>
        <v>1</v>
      </c>
      <c r="C53" s="9">
        <f t="shared" si="14"/>
        <v>108</v>
      </c>
      <c r="D53" s="9">
        <f t="shared" si="15"/>
        <v>0</v>
      </c>
      <c r="E53" s="9" t="str">
        <f t="shared" si="16"/>
        <v>00</v>
      </c>
      <c r="F53" s="9" t="str">
        <f t="shared" si="17"/>
        <v>1</v>
      </c>
      <c r="G53" s="9" t="str">
        <f>IF(B53=TRUE,CONCATENATE(E53,F53),DEC2BIN(BITWISE_XOR(BIN2DEC(G52),7),3))</f>
        <v>001</v>
      </c>
      <c r="H53" s="25" t="str">
        <f t="shared" si="18"/>
        <v>001</v>
      </c>
    </row>
    <row r="54" spans="1:8" x14ac:dyDescent="0.25">
      <c r="B54" s="9" t="b">
        <f t="shared" si="13"/>
        <v>1</v>
      </c>
      <c r="C54" s="9">
        <f t="shared" si="14"/>
        <v>27</v>
      </c>
      <c r="D54" s="9">
        <f t="shared" si="15"/>
        <v>3</v>
      </c>
      <c r="E54" s="9" t="str">
        <f t="shared" si="16"/>
        <v>11</v>
      </c>
      <c r="F54" s="9" t="str">
        <f t="shared" si="17"/>
        <v>1</v>
      </c>
      <c r="G54" s="9" t="str">
        <f>IF(B54=TRUE,CONCATENATE(E54,F54),DEC2BIN(BITWISE_XOR(BIN2DEC(G53),7),3))</f>
        <v>111</v>
      </c>
      <c r="H54" s="25" t="str">
        <f t="shared" si="18"/>
        <v>111</v>
      </c>
    </row>
    <row r="55" spans="1:8" x14ac:dyDescent="0.25">
      <c r="B55" s="9" t="b">
        <f t="shared" si="13"/>
        <v>1</v>
      </c>
      <c r="C55" s="9">
        <f t="shared" si="14"/>
        <v>6</v>
      </c>
      <c r="D55" s="9">
        <f t="shared" si="15"/>
        <v>2</v>
      </c>
      <c r="E55" s="9" t="str">
        <f t="shared" si="16"/>
        <v>10</v>
      </c>
      <c r="F55" s="9" t="str">
        <f t="shared" si="17"/>
        <v>1</v>
      </c>
      <c r="G55" s="9" t="str">
        <f>IF(B55=TRUE,CONCATENATE(E55,F55),DEC2BIN(BITWISE_XOR(BIN2DEC(G54),7),3))</f>
        <v>101</v>
      </c>
      <c r="H55" s="25" t="str">
        <f t="shared" si="18"/>
        <v>101</v>
      </c>
    </row>
    <row r="56" spans="1:8" x14ac:dyDescent="0.25">
      <c r="B56" s="9" t="b">
        <f t="shared" si="13"/>
        <v>1</v>
      </c>
      <c r="C56" s="9">
        <f t="shared" si="14"/>
        <v>1</v>
      </c>
      <c r="D56" s="9">
        <f t="shared" si="15"/>
        <v>1</v>
      </c>
      <c r="E56" s="9" t="str">
        <f t="shared" si="16"/>
        <v>01</v>
      </c>
      <c r="F56" s="9" t="str">
        <f t="shared" si="17"/>
        <v>1</v>
      </c>
      <c r="G56" s="9" t="str">
        <f>IF(B56=TRUE,CONCATENATE(E56,F56),DEC2BIN(BITWISE_XOR(BIN2DEC(G55),7),3))</f>
        <v>011</v>
      </c>
      <c r="H56" s="25" t="str">
        <f t="shared" si="18"/>
        <v>011</v>
      </c>
    </row>
    <row r="57" spans="1:8" x14ac:dyDescent="0.25">
      <c r="A57">
        <v>100</v>
      </c>
      <c r="B57" s="9" t="b">
        <f t="shared" si="13"/>
        <v>1</v>
      </c>
      <c r="C57" s="9">
        <f t="shared" si="14"/>
        <v>100</v>
      </c>
      <c r="D57" s="9">
        <f t="shared" si="15"/>
        <v>0</v>
      </c>
      <c r="E57" s="9" t="str">
        <f t="shared" si="16"/>
        <v>00</v>
      </c>
      <c r="F57" s="9" t="str">
        <f t="shared" si="17"/>
        <v>1</v>
      </c>
      <c r="G57" s="9" t="str">
        <f>IF(B57=TRUE,CONCATENATE(E57,F57),DEC2BIN(BITWISE_XOR(BIN2DEC(G56),7),3))</f>
        <v>001</v>
      </c>
      <c r="H57" s="25" t="str">
        <f t="shared" si="18"/>
        <v>001</v>
      </c>
    </row>
    <row r="58" spans="1:8" x14ac:dyDescent="0.25">
      <c r="B58" s="9" t="b">
        <f t="shared" si="13"/>
        <v>1</v>
      </c>
      <c r="C58" s="9">
        <f t="shared" si="14"/>
        <v>25</v>
      </c>
      <c r="D58" s="9">
        <f t="shared" si="15"/>
        <v>1</v>
      </c>
      <c r="E58" s="9" t="str">
        <f t="shared" si="16"/>
        <v>01</v>
      </c>
      <c r="F58" s="9" t="str">
        <f t="shared" si="17"/>
        <v>1</v>
      </c>
      <c r="G58" s="9" t="str">
        <f>IF(B58=TRUE,CONCATENATE(E58,F58),DEC2BIN(BITWISE_XOR(BIN2DEC(G57),7),3))</f>
        <v>011</v>
      </c>
      <c r="H58" s="25" t="str">
        <f t="shared" si="18"/>
        <v>011</v>
      </c>
    </row>
    <row r="59" spans="1:8" x14ac:dyDescent="0.25">
      <c r="B59" s="9" t="b">
        <f t="shared" si="13"/>
        <v>1</v>
      </c>
      <c r="C59" s="9">
        <f t="shared" si="14"/>
        <v>6</v>
      </c>
      <c r="D59" s="9">
        <f t="shared" si="15"/>
        <v>2</v>
      </c>
      <c r="E59" s="9" t="str">
        <f t="shared" si="16"/>
        <v>10</v>
      </c>
      <c r="F59" s="9" t="str">
        <f t="shared" si="17"/>
        <v>1</v>
      </c>
      <c r="G59" s="9" t="str">
        <f>IF(B59=TRUE,CONCATENATE(E59,F59),DEC2BIN(BITWISE_XOR(BIN2DEC(G58),7),3))</f>
        <v>101</v>
      </c>
      <c r="H59" s="25" t="str">
        <f t="shared" si="18"/>
        <v>101</v>
      </c>
    </row>
    <row r="60" spans="1:8" x14ac:dyDescent="0.25">
      <c r="B60" s="9" t="b">
        <f t="shared" si="13"/>
        <v>1</v>
      </c>
      <c r="C60" s="9">
        <f t="shared" si="14"/>
        <v>1</v>
      </c>
      <c r="D60" s="9">
        <f t="shared" si="15"/>
        <v>1</v>
      </c>
      <c r="E60" s="9" t="str">
        <f t="shared" si="16"/>
        <v>01</v>
      </c>
      <c r="F60" s="9" t="str">
        <f t="shared" si="17"/>
        <v>1</v>
      </c>
      <c r="G60" s="9" t="str">
        <f>IF(B60=TRUE,CONCATENATE(E60,F60),DEC2BIN(BITWISE_XOR(BIN2DEC(G59),7),3))</f>
        <v>011</v>
      </c>
      <c r="H60" s="25" t="str">
        <f t="shared" si="18"/>
        <v>011</v>
      </c>
    </row>
    <row r="61" spans="1:8" x14ac:dyDescent="0.25">
      <c r="B61" s="9" t="b">
        <f t="shared" si="13"/>
        <v>0</v>
      </c>
      <c r="C61" s="9">
        <f t="shared" si="14"/>
        <v>0</v>
      </c>
      <c r="D61" s="9">
        <f t="shared" si="15"/>
        <v>0</v>
      </c>
      <c r="E61" s="9" t="str">
        <f t="shared" si="16"/>
        <v>00</v>
      </c>
      <c r="F61" s="9" t="str">
        <f t="shared" si="17"/>
        <v>1</v>
      </c>
      <c r="G61" s="9" t="str">
        <f>IF(B61=TRUE,CONCATENATE(E61,F61),DEC2BIN(BITWISE_XOR(BIN2DEC(G60),7),3))</f>
        <v>100</v>
      </c>
      <c r="H61" s="25" t="str">
        <f t="shared" si="18"/>
        <v>100</v>
      </c>
    </row>
    <row r="62" spans="1:8" x14ac:dyDescent="0.25">
      <c r="B62" s="9"/>
      <c r="C62" s="9"/>
      <c r="D62" s="9"/>
      <c r="E62" s="9"/>
      <c r="F62" s="9"/>
      <c r="G62" s="9"/>
      <c r="H62" s="25"/>
    </row>
    <row r="63" spans="1:8" x14ac:dyDescent="0.25">
      <c r="B63" s="9"/>
      <c r="C63" s="9"/>
      <c r="D63" s="9"/>
      <c r="E63" s="9"/>
      <c r="F63" s="9"/>
      <c r="G63" s="9"/>
      <c r="H63" s="25"/>
    </row>
    <row r="64" spans="1:8" x14ac:dyDescent="0.25">
      <c r="B64" s="9"/>
      <c r="C64" s="9"/>
      <c r="D64" s="9"/>
      <c r="E64" s="9"/>
      <c r="F64" s="9"/>
      <c r="G64" s="9"/>
      <c r="H64" s="25"/>
    </row>
    <row r="65" spans="2:8" x14ac:dyDescent="0.25">
      <c r="B65" s="9"/>
      <c r="C65" s="9"/>
      <c r="D65" s="9"/>
      <c r="E65" s="9"/>
      <c r="F65" s="9"/>
      <c r="G65" s="9"/>
      <c r="H65" s="25"/>
    </row>
    <row r="66" spans="2:8" x14ac:dyDescent="0.25">
      <c r="B66" s="9"/>
      <c r="C66" s="9"/>
      <c r="D66" s="9"/>
      <c r="E66" s="9"/>
      <c r="F66" s="9"/>
      <c r="G66" s="9"/>
      <c r="H66" s="25"/>
    </row>
    <row r="67" spans="2:8" x14ac:dyDescent="0.25">
      <c r="B67" s="9"/>
      <c r="C67" s="9"/>
      <c r="D67" s="9"/>
      <c r="E67" s="9"/>
      <c r="F67" s="9"/>
      <c r="G67" s="9"/>
      <c r="H67" s="25"/>
    </row>
    <row r="68" spans="2:8" x14ac:dyDescent="0.25">
      <c r="B68" s="9"/>
      <c r="C68" s="9"/>
      <c r="D68" s="9"/>
      <c r="E68" s="9"/>
      <c r="F68" s="9"/>
      <c r="G68" s="9"/>
      <c r="H68" s="25"/>
    </row>
  </sheetData>
  <conditionalFormatting sqref="H5:H68">
    <cfRule type="containsText" dxfId="6" priority="1" operator="containsText" text="101">
      <formula>NOT(ISERROR(SEARCH("101",H5)))</formula>
    </cfRule>
    <cfRule type="containsText" dxfId="5" priority="2" operator="containsText" text="011">
      <formula>NOT(ISERROR(SEARCH("011",H5)))</formula>
    </cfRule>
    <cfRule type="containsText" dxfId="4" priority="3" operator="containsText" text="010">
      <formula>NOT(ISERROR(SEARCH("010",H5)))</formula>
    </cfRule>
    <cfRule type="containsText" dxfId="3" priority="4" operator="containsText" text="001">
      <formula>NOT(ISERROR(SEARCH("001",H5)))</formula>
    </cfRule>
    <cfRule type="containsText" dxfId="2" priority="5" operator="containsText" text="000">
      <formula>NOT(ISERROR(SEARCH("000",H5)))</formula>
    </cfRule>
    <cfRule type="containsText" dxfId="1" priority="6" operator="containsText" text="110">
      <formula>NOT(ISERROR(SEARCH("110",H5)))</formula>
    </cfRule>
    <cfRule type="containsText" dxfId="0" priority="7" operator="containsText" text="100">
      <formula>NOT(ISERROR(SEARCH("100",H5)))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N405"/>
  <sheetViews>
    <sheetView zoomScale="70" zoomScaleNormal="70" workbookViewId="0">
      <selection activeCell="O16" sqref="O16"/>
    </sheetView>
  </sheetViews>
  <sheetFormatPr defaultRowHeight="15" x14ac:dyDescent="0.25"/>
  <cols>
    <col min="12" max="12" width="18.85546875" customWidth="1"/>
  </cols>
  <sheetData>
    <row r="2" spans="3:14" x14ac:dyDescent="0.25">
      <c r="G2" t="s">
        <v>38</v>
      </c>
    </row>
    <row r="3" spans="3:14" x14ac:dyDescent="0.25">
      <c r="G3" s="11"/>
      <c r="H3" s="12"/>
      <c r="I3" s="12"/>
      <c r="J3" s="12"/>
      <c r="K3" s="12"/>
      <c r="L3" s="19" t="s">
        <v>23</v>
      </c>
      <c r="M3" s="20" t="s">
        <v>44</v>
      </c>
      <c r="N3" t="s">
        <v>45</v>
      </c>
    </row>
    <row r="4" spans="3:14" x14ac:dyDescent="0.25">
      <c r="G4" s="14" t="s">
        <v>21</v>
      </c>
      <c r="H4" s="9" t="s">
        <v>14</v>
      </c>
      <c r="I4" s="9" t="s">
        <v>22</v>
      </c>
      <c r="J4" s="21" t="s">
        <v>18</v>
      </c>
      <c r="K4" s="21" t="s">
        <v>39</v>
      </c>
      <c r="L4" s="9"/>
      <c r="M4" s="15"/>
    </row>
    <row r="5" spans="3:14" x14ac:dyDescent="0.25">
      <c r="G5" s="14"/>
      <c r="H5" s="9"/>
      <c r="I5" s="9"/>
      <c r="J5" s="21"/>
      <c r="K5" s="21"/>
      <c r="L5" s="9"/>
      <c r="M5" s="15"/>
    </row>
    <row r="6" spans="3:14" x14ac:dyDescent="0.25">
      <c r="C6" t="s">
        <v>40</v>
      </c>
      <c r="D6">
        <v>6</v>
      </c>
      <c r="E6" t="str">
        <f t="shared" ref="E6:E48" si="0">DEC2BIN(D6,3)</f>
        <v>110</v>
      </c>
      <c r="G6" s="14" t="str">
        <f>E6</f>
        <v>110</v>
      </c>
      <c r="H6" s="9"/>
      <c r="I6" s="9"/>
      <c r="J6" s="21"/>
      <c r="K6" s="21">
        <v>0</v>
      </c>
      <c r="L6" s="9"/>
      <c r="M6" s="15" t="str">
        <f t="shared" ref="M6:M16" si="1">IF(AND(K6=0,K5=3),BIN2DEC(L6),"")</f>
        <v/>
      </c>
    </row>
    <row r="7" spans="3:14" x14ac:dyDescent="0.25">
      <c r="D7">
        <v>0</v>
      </c>
      <c r="E7" t="str">
        <f t="shared" si="0"/>
        <v>000</v>
      </c>
      <c r="G7" s="14" t="str">
        <f>E7</f>
        <v>000</v>
      </c>
      <c r="H7" s="9" t="str">
        <f>IF(OR(G7=G6,BITWISE_XOR(G6,G7)=VALUE("111")),"",LEFT(G7,2))</f>
        <v>00</v>
      </c>
      <c r="I7" s="9" t="str">
        <f>IF(OR(G7=G6,BITWISE_XOR(G6,G7)=VALUE("111")),"",RIGHT(G7,1))</f>
        <v>0</v>
      </c>
      <c r="J7" s="9"/>
      <c r="K7" s="9">
        <f>IF(J7=TRUE,0,(IF((H7=""),K6,MOD((K6+1),4))))</f>
        <v>1</v>
      </c>
      <c r="L7" s="9" t="str">
        <f t="shared" ref="L7:L62" si="2">IF(K7=K6,IF(K6=0,H7,L6),IF(K7=1,H7,CONCATENATE(H7,L6)))</f>
        <v>00</v>
      </c>
      <c r="M7" s="15" t="str">
        <f t="shared" si="1"/>
        <v/>
      </c>
      <c r="N7" t="str">
        <f t="shared" ref="N7:N30" si="3">IF(M7&lt;&gt;"",CHAR(M7),"")</f>
        <v/>
      </c>
    </row>
    <row r="8" spans="3:14" x14ac:dyDescent="0.25">
      <c r="D8">
        <v>0</v>
      </c>
      <c r="E8" t="str">
        <f t="shared" si="0"/>
        <v>000</v>
      </c>
      <c r="G8" s="14" t="str">
        <f t="shared" ref="G8:G50" si="4">E8</f>
        <v>000</v>
      </c>
      <c r="H8" s="9" t="str">
        <f>IF(OR(G8=G7,BITWISE_XOR(G7,G8)=VALUE("111")),"",LEFT(G8,2))</f>
        <v/>
      </c>
      <c r="I8" s="9" t="str">
        <f>IF(OR(G8=G7,BITWISE_XOR(G7,G8)=VALUE("111")),"",RIGHT(G8,1))</f>
        <v/>
      </c>
      <c r="J8" s="9" t="b">
        <f>BITWISE_XOR(BIN2DEC(G7),7)=BIN2DEC(G8)</f>
        <v>0</v>
      </c>
      <c r="K8" s="9">
        <f t="shared" ref="K8:K50" si="5">IF(J8=TRUE,0,(IF((H8=""),K7,MOD((K7+1),4))))</f>
        <v>1</v>
      </c>
      <c r="L8" s="9" t="str">
        <f t="shared" si="2"/>
        <v>00</v>
      </c>
      <c r="M8" s="15" t="str">
        <f t="shared" si="1"/>
        <v/>
      </c>
      <c r="N8" t="str">
        <f t="shared" si="3"/>
        <v/>
      </c>
    </row>
    <row r="9" spans="3:14" x14ac:dyDescent="0.25">
      <c r="D9">
        <v>0</v>
      </c>
      <c r="E9" t="str">
        <f t="shared" si="0"/>
        <v>000</v>
      </c>
      <c r="G9" s="14" t="str">
        <f t="shared" si="4"/>
        <v>000</v>
      </c>
      <c r="H9" s="9" t="str">
        <f>IF(OR(G9=G8,BITWISE_XOR(G8,G9)=VALUE("111")),"",LEFT(G9,2))</f>
        <v/>
      </c>
      <c r="I9" s="9" t="str">
        <f>IF(OR(G9=G8,BITWISE_XOR(G8,G9)=VALUE("111")),"",RIGHT(G9,1))</f>
        <v/>
      </c>
      <c r="J9" s="9" t="b">
        <f>BITWISE_XOR(BIN2DEC(G8),7)=BIN2DEC(G9)</f>
        <v>0</v>
      </c>
      <c r="K9" s="9">
        <f t="shared" si="5"/>
        <v>1</v>
      </c>
      <c r="L9" s="9" t="str">
        <f t="shared" si="2"/>
        <v>00</v>
      </c>
      <c r="M9" s="15" t="str">
        <f t="shared" si="1"/>
        <v/>
      </c>
      <c r="N9" t="str">
        <f t="shared" si="3"/>
        <v/>
      </c>
    </row>
    <row r="10" spans="3:14" x14ac:dyDescent="0.25">
      <c r="D10">
        <v>0</v>
      </c>
      <c r="E10" t="str">
        <f t="shared" si="0"/>
        <v>000</v>
      </c>
      <c r="G10" s="14" t="str">
        <f t="shared" si="4"/>
        <v>000</v>
      </c>
      <c r="H10" s="9" t="str">
        <f>IF(OR(G10=G9,BITWISE_XOR(G9,G10)=VALUE("111")),"",LEFT(G10,2))</f>
        <v/>
      </c>
      <c r="I10" s="9" t="str">
        <f>IF(OR(G10=G9,BITWISE_XOR(G9,G10)=VALUE("111")),"",RIGHT(G10,1))</f>
        <v/>
      </c>
      <c r="J10" s="9" t="b">
        <f>BITWISE_XOR(BIN2DEC(G9),7)=BIN2DEC(G10)</f>
        <v>0</v>
      </c>
      <c r="K10" s="9">
        <f t="shared" si="5"/>
        <v>1</v>
      </c>
      <c r="L10" s="9" t="str">
        <f t="shared" si="2"/>
        <v>00</v>
      </c>
      <c r="M10" s="15" t="str">
        <f t="shared" si="1"/>
        <v/>
      </c>
      <c r="N10" t="str">
        <f t="shared" si="3"/>
        <v/>
      </c>
    </row>
    <row r="11" spans="3:14" x14ac:dyDescent="0.25">
      <c r="D11">
        <v>0</v>
      </c>
      <c r="E11" t="str">
        <f t="shared" si="0"/>
        <v>000</v>
      </c>
      <c r="G11" s="14" t="str">
        <f t="shared" si="4"/>
        <v>000</v>
      </c>
      <c r="H11" s="9" t="str">
        <f>IF(OR(G11=G10,BITWISE_XOR(G10,G11)=VALUE("111")),"",LEFT(G11,2))</f>
        <v/>
      </c>
      <c r="I11" s="9" t="str">
        <f>IF(OR(G11=G10,BITWISE_XOR(G10,G11)=VALUE("111")),"",RIGHT(G11,1))</f>
        <v/>
      </c>
      <c r="J11" s="9" t="b">
        <f>BITWISE_XOR(BIN2DEC(G10),7)=BIN2DEC(G11)</f>
        <v>0</v>
      </c>
      <c r="K11" s="9">
        <f t="shared" si="5"/>
        <v>1</v>
      </c>
      <c r="L11" s="9" t="str">
        <f t="shared" si="2"/>
        <v>00</v>
      </c>
      <c r="M11" s="15" t="str">
        <f t="shared" si="1"/>
        <v/>
      </c>
      <c r="N11" t="str">
        <f t="shared" si="3"/>
        <v/>
      </c>
    </row>
    <row r="12" spans="3:14" x14ac:dyDescent="0.25">
      <c r="D12">
        <v>0</v>
      </c>
      <c r="E12" t="str">
        <f t="shared" si="0"/>
        <v>000</v>
      </c>
      <c r="G12" s="14" t="str">
        <f t="shared" si="4"/>
        <v>000</v>
      </c>
      <c r="H12" s="9" t="str">
        <f>IF(OR(G12=G11,BITWISE_XOR(G11,G12)=VALUE("111")),"",LEFT(G12,2))</f>
        <v/>
      </c>
      <c r="I12" s="9" t="str">
        <f>IF(OR(G12=G11,BITWISE_XOR(G11,G12)=VALUE("111")),"",RIGHT(G12,1))</f>
        <v/>
      </c>
      <c r="J12" s="9" t="b">
        <f>BITWISE_XOR(BIN2DEC(G11),7)=BIN2DEC(G12)</f>
        <v>0</v>
      </c>
      <c r="K12" s="9">
        <f t="shared" si="5"/>
        <v>1</v>
      </c>
      <c r="L12" s="9" t="str">
        <f t="shared" si="2"/>
        <v>00</v>
      </c>
      <c r="M12" s="15" t="str">
        <f t="shared" si="1"/>
        <v/>
      </c>
      <c r="N12" t="str">
        <f t="shared" si="3"/>
        <v/>
      </c>
    </row>
    <row r="13" spans="3:14" x14ac:dyDescent="0.25">
      <c r="D13">
        <v>0</v>
      </c>
      <c r="E13" t="str">
        <f t="shared" si="0"/>
        <v>000</v>
      </c>
      <c r="G13" s="14" t="str">
        <f t="shared" si="4"/>
        <v>000</v>
      </c>
      <c r="H13" s="9" t="str">
        <f>IF(OR(G13=G12,BITWISE_XOR(G12,G13)=VALUE("111")),"",LEFT(G13,2))</f>
        <v/>
      </c>
      <c r="I13" s="9" t="str">
        <f>IF(OR(G13=G12,BITWISE_XOR(G12,G13)=VALUE("111")),"",RIGHT(G13,1))</f>
        <v/>
      </c>
      <c r="J13" s="9" t="b">
        <f>BITWISE_XOR(BIN2DEC(G12),7)=BIN2DEC(G13)</f>
        <v>0</v>
      </c>
      <c r="K13" s="9">
        <f t="shared" si="5"/>
        <v>1</v>
      </c>
      <c r="L13" s="9" t="str">
        <f t="shared" si="2"/>
        <v>00</v>
      </c>
      <c r="M13" s="15" t="str">
        <f t="shared" si="1"/>
        <v/>
      </c>
      <c r="N13" t="str">
        <f t="shared" si="3"/>
        <v/>
      </c>
    </row>
    <row r="14" spans="3:14" x14ac:dyDescent="0.25">
      <c r="D14">
        <v>7</v>
      </c>
      <c r="E14" t="str">
        <f t="shared" si="0"/>
        <v>111</v>
      </c>
      <c r="G14" s="14" t="str">
        <f t="shared" si="4"/>
        <v>111</v>
      </c>
      <c r="H14" s="9" t="str">
        <f>IF(OR(G14=G13,BITWISE_XOR(G13,G14)=VALUE("111")),"",LEFT(G14,2))</f>
        <v/>
      </c>
      <c r="I14" s="9" t="str">
        <f>IF(OR(G14=G13,BITWISE_XOR(G13,G14)=VALUE("111")),"",RIGHT(G14,1))</f>
        <v/>
      </c>
      <c r="J14" s="9" t="b">
        <f>BITWISE_XOR(BIN2DEC(G13),7)=BIN2DEC(G14)</f>
        <v>1</v>
      </c>
      <c r="K14" s="9">
        <f t="shared" si="5"/>
        <v>0</v>
      </c>
      <c r="L14" s="9" t="str">
        <f t="shared" si="2"/>
        <v>00</v>
      </c>
      <c r="M14" s="15" t="str">
        <f t="shared" si="1"/>
        <v/>
      </c>
      <c r="N14" t="str">
        <f t="shared" si="3"/>
        <v/>
      </c>
    </row>
    <row r="15" spans="3:14" x14ac:dyDescent="0.25">
      <c r="D15">
        <v>7</v>
      </c>
      <c r="E15" t="str">
        <f t="shared" si="0"/>
        <v>111</v>
      </c>
      <c r="G15" s="14" t="str">
        <f t="shared" si="4"/>
        <v>111</v>
      </c>
      <c r="H15" s="9" t="str">
        <f>IF(OR(G15=G14,BITWISE_XOR(G14,G15)=VALUE("111")),"",LEFT(G15,2))</f>
        <v/>
      </c>
      <c r="I15" s="9" t="str">
        <f>IF(OR(G15=G14,BITWISE_XOR(G14,G15)=VALUE("111")),"",RIGHT(G15,1))</f>
        <v/>
      </c>
      <c r="J15" s="9" t="b">
        <f>BITWISE_XOR(BIN2DEC(G14),7)=BIN2DEC(G15)</f>
        <v>0</v>
      </c>
      <c r="K15" s="9">
        <f t="shared" si="5"/>
        <v>0</v>
      </c>
      <c r="L15" s="9" t="str">
        <f t="shared" si="2"/>
        <v/>
      </c>
      <c r="M15" s="15" t="str">
        <f t="shared" si="1"/>
        <v/>
      </c>
      <c r="N15" t="str">
        <f t="shared" si="3"/>
        <v/>
      </c>
    </row>
    <row r="16" spans="3:14" x14ac:dyDescent="0.25">
      <c r="D16">
        <v>7</v>
      </c>
      <c r="E16" t="str">
        <f t="shared" si="0"/>
        <v>111</v>
      </c>
      <c r="G16" s="14" t="str">
        <f t="shared" si="4"/>
        <v>111</v>
      </c>
      <c r="H16" s="9" t="str">
        <f>IF(OR(G16=G15,BITWISE_XOR(G15,G16)=VALUE("111")),"",LEFT(G16,2))</f>
        <v/>
      </c>
      <c r="I16" s="9" t="str">
        <f>IF(OR(G16=G15,BITWISE_XOR(G15,G16)=VALUE("111")),"",RIGHT(G16,1))</f>
        <v/>
      </c>
      <c r="J16" s="9" t="b">
        <f>BITWISE_XOR(BIN2DEC(G15),7)=BIN2DEC(G16)</f>
        <v>0</v>
      </c>
      <c r="K16" s="9">
        <f t="shared" si="5"/>
        <v>0</v>
      </c>
      <c r="L16" s="9" t="str">
        <f t="shared" si="2"/>
        <v/>
      </c>
      <c r="M16" s="15" t="str">
        <f t="shared" si="1"/>
        <v/>
      </c>
      <c r="N16" t="str">
        <f t="shared" si="3"/>
        <v/>
      </c>
    </row>
    <row r="17" spans="4:14" x14ac:dyDescent="0.25">
      <c r="D17">
        <v>7</v>
      </c>
      <c r="E17" t="str">
        <f t="shared" si="0"/>
        <v>111</v>
      </c>
      <c r="G17" s="14" t="str">
        <f t="shared" si="4"/>
        <v>111</v>
      </c>
      <c r="H17" s="9" t="str">
        <f>IF(OR(G17=G16,BITWISE_XOR(G16,G17)=VALUE("111")),"",LEFT(G17,2))</f>
        <v/>
      </c>
      <c r="I17" s="9" t="str">
        <f>IF(OR(G17=G16,BITWISE_XOR(G16,G17)=VALUE("111")),"",RIGHT(G17,1))</f>
        <v/>
      </c>
      <c r="J17" s="9" t="b">
        <f>BITWISE_XOR(BIN2DEC(G16),7)=BIN2DEC(G17)</f>
        <v>0</v>
      </c>
      <c r="K17" s="9">
        <f t="shared" si="5"/>
        <v>0</v>
      </c>
      <c r="L17" s="9" t="str">
        <f t="shared" si="2"/>
        <v/>
      </c>
      <c r="M17" s="15" t="str">
        <f>IF(AND(K17=0,K16=3),BIN2DEC(L17),"")</f>
        <v/>
      </c>
      <c r="N17" t="str">
        <f t="shared" si="3"/>
        <v/>
      </c>
    </row>
    <row r="18" spans="4:14" x14ac:dyDescent="0.25">
      <c r="D18">
        <v>7</v>
      </c>
      <c r="E18" t="str">
        <f t="shared" si="0"/>
        <v>111</v>
      </c>
      <c r="G18" s="14" t="str">
        <f t="shared" si="4"/>
        <v>111</v>
      </c>
      <c r="H18" s="9" t="str">
        <f>IF(OR(G18=G17,BITWISE_XOR(G17,G18)=VALUE("111")),"",LEFT(G18,2))</f>
        <v/>
      </c>
      <c r="I18" s="9" t="str">
        <f>IF(OR(G18=G17,BITWISE_XOR(G17,G18)=VALUE("111")),"",RIGHT(G18,1))</f>
        <v/>
      </c>
      <c r="J18" s="9" t="b">
        <f>BITWISE_XOR(BIN2DEC(G17),7)=BIN2DEC(G18)</f>
        <v>0</v>
      </c>
      <c r="K18" s="9">
        <f t="shared" si="5"/>
        <v>0</v>
      </c>
      <c r="L18" s="9" t="str">
        <f t="shared" si="2"/>
        <v/>
      </c>
      <c r="M18" s="15" t="str">
        <f t="shared" ref="M18:M50" si="6">IF(AND(K18=0,K17=3),BIN2DEC(L18),"")</f>
        <v/>
      </c>
      <c r="N18" t="str">
        <f t="shared" si="3"/>
        <v/>
      </c>
    </row>
    <row r="19" spans="4:14" x14ac:dyDescent="0.25">
      <c r="D19">
        <v>7</v>
      </c>
      <c r="E19" t="str">
        <f t="shared" si="0"/>
        <v>111</v>
      </c>
      <c r="G19" s="14" t="str">
        <f t="shared" si="4"/>
        <v>111</v>
      </c>
      <c r="H19" s="9" t="str">
        <f>IF(OR(G19=G18,BITWISE_XOR(G18,G19)=VALUE("111")),"",LEFT(G19,2))</f>
        <v/>
      </c>
      <c r="I19" s="9" t="str">
        <f>IF(OR(G19=G18,BITWISE_XOR(G18,G19)=VALUE("111")),"",RIGHT(G19,1))</f>
        <v/>
      </c>
      <c r="J19" s="9" t="b">
        <f>BITWISE_XOR(BIN2DEC(G18),7)=BIN2DEC(G19)</f>
        <v>0</v>
      </c>
      <c r="K19" s="9">
        <f t="shared" si="5"/>
        <v>0</v>
      </c>
      <c r="L19" s="9" t="str">
        <f t="shared" si="2"/>
        <v/>
      </c>
      <c r="M19" s="15" t="str">
        <f t="shared" si="6"/>
        <v/>
      </c>
      <c r="N19" t="str">
        <f t="shared" si="3"/>
        <v/>
      </c>
    </row>
    <row r="20" spans="4:14" x14ac:dyDescent="0.25">
      <c r="D20">
        <v>7</v>
      </c>
      <c r="E20" t="str">
        <f t="shared" si="0"/>
        <v>111</v>
      </c>
      <c r="G20" s="14" t="str">
        <f t="shared" si="4"/>
        <v>111</v>
      </c>
      <c r="H20" s="9" t="str">
        <f>IF(OR(G20=G19,BITWISE_XOR(G19,G20)=VALUE("111")),"",LEFT(G20,2))</f>
        <v/>
      </c>
      <c r="I20" s="9" t="str">
        <f>IF(OR(G20=G19,BITWISE_XOR(G19,G20)=VALUE("111")),"",RIGHT(G20,1))</f>
        <v/>
      </c>
      <c r="J20" s="9" t="b">
        <f>BITWISE_XOR(BIN2DEC(G19),7)=BIN2DEC(G20)</f>
        <v>0</v>
      </c>
      <c r="K20" s="9">
        <f t="shared" si="5"/>
        <v>0</v>
      </c>
      <c r="L20" s="9" t="str">
        <f t="shared" si="2"/>
        <v/>
      </c>
      <c r="M20" s="15" t="str">
        <f t="shared" si="6"/>
        <v/>
      </c>
      <c r="N20" t="str">
        <f t="shared" si="3"/>
        <v/>
      </c>
    </row>
    <row r="21" spans="4:14" x14ac:dyDescent="0.25">
      <c r="D21">
        <v>0</v>
      </c>
      <c r="E21" t="str">
        <f t="shared" si="0"/>
        <v>000</v>
      </c>
      <c r="G21" s="14" t="str">
        <f t="shared" si="4"/>
        <v>000</v>
      </c>
      <c r="H21" s="9" t="str">
        <f>IF(OR(G21=G20,BITWISE_XOR(G20,G21)=VALUE("111")),"",LEFT(G21,2))</f>
        <v/>
      </c>
      <c r="I21" s="9" t="str">
        <f>IF(OR(G21=G20,BITWISE_XOR(G20,G21)=VALUE("111")),"",RIGHT(G21,1))</f>
        <v/>
      </c>
      <c r="J21" s="9" t="b">
        <f>BITWISE_XOR(BIN2DEC(G20),7)=BIN2DEC(G21)</f>
        <v>1</v>
      </c>
      <c r="K21" s="9">
        <f t="shared" si="5"/>
        <v>0</v>
      </c>
      <c r="L21" s="9" t="str">
        <f t="shared" si="2"/>
        <v/>
      </c>
      <c r="M21" s="15" t="str">
        <f t="shared" si="6"/>
        <v/>
      </c>
      <c r="N21" t="str">
        <f t="shared" si="3"/>
        <v/>
      </c>
    </row>
    <row r="22" spans="4:14" x14ac:dyDescent="0.25">
      <c r="D22">
        <v>0</v>
      </c>
      <c r="E22" t="str">
        <f t="shared" si="0"/>
        <v>000</v>
      </c>
      <c r="G22" s="14" t="str">
        <f t="shared" si="4"/>
        <v>000</v>
      </c>
      <c r="H22" s="9" t="str">
        <f>IF(OR(G22=G21,BITWISE_XOR(G21,G22)=VALUE("111")),"",LEFT(G22,2))</f>
        <v/>
      </c>
      <c r="I22" s="9" t="str">
        <f>IF(OR(G22=G21,BITWISE_XOR(G21,G22)=VALUE("111")),"",RIGHT(G22,1))</f>
        <v/>
      </c>
      <c r="J22" s="9" t="b">
        <f>BITWISE_XOR(BIN2DEC(G21),7)=BIN2DEC(G22)</f>
        <v>0</v>
      </c>
      <c r="K22" s="9">
        <f t="shared" si="5"/>
        <v>0</v>
      </c>
      <c r="L22" s="9" t="str">
        <f t="shared" si="2"/>
        <v/>
      </c>
      <c r="M22" s="15" t="str">
        <f t="shared" si="6"/>
        <v/>
      </c>
      <c r="N22" t="str">
        <f t="shared" si="3"/>
        <v/>
      </c>
    </row>
    <row r="23" spans="4:14" x14ac:dyDescent="0.25">
      <c r="D23">
        <v>0</v>
      </c>
      <c r="E23" t="str">
        <f t="shared" si="0"/>
        <v>000</v>
      </c>
      <c r="G23" s="14" t="str">
        <f t="shared" si="4"/>
        <v>000</v>
      </c>
      <c r="H23" s="9" t="str">
        <f>IF(OR(G23=G22,BITWISE_XOR(G22,G23)=VALUE("111")),"",LEFT(G23,2))</f>
        <v/>
      </c>
      <c r="I23" s="9" t="str">
        <f>IF(OR(G23=G22,BITWISE_XOR(G22,G23)=VALUE("111")),"",RIGHT(G23,1))</f>
        <v/>
      </c>
      <c r="J23" s="9" t="b">
        <f>BITWISE_XOR(BIN2DEC(G22),7)=BIN2DEC(G23)</f>
        <v>0</v>
      </c>
      <c r="K23" s="9">
        <f t="shared" si="5"/>
        <v>0</v>
      </c>
      <c r="L23" s="9" t="str">
        <f t="shared" si="2"/>
        <v/>
      </c>
      <c r="M23" s="15" t="str">
        <f t="shared" si="6"/>
        <v/>
      </c>
      <c r="N23" t="str">
        <f t="shared" si="3"/>
        <v/>
      </c>
    </row>
    <row r="24" spans="4:14" x14ac:dyDescent="0.25">
      <c r="D24">
        <v>0</v>
      </c>
      <c r="E24" t="str">
        <f t="shared" si="0"/>
        <v>000</v>
      </c>
      <c r="G24" s="14" t="str">
        <f t="shared" si="4"/>
        <v>000</v>
      </c>
      <c r="H24" s="9" t="str">
        <f>IF(OR(G24=G23,BITWISE_XOR(G23,G24)=VALUE("111")),"",LEFT(G24,2))</f>
        <v/>
      </c>
      <c r="I24" s="9" t="str">
        <f>IF(OR(G24=G23,BITWISE_XOR(G23,G24)=VALUE("111")),"",RIGHT(G24,1))</f>
        <v/>
      </c>
      <c r="J24" s="9" t="b">
        <f>BITWISE_XOR(BIN2DEC(G23),7)=BIN2DEC(G24)</f>
        <v>0</v>
      </c>
      <c r="K24" s="9">
        <f t="shared" si="5"/>
        <v>0</v>
      </c>
      <c r="L24" s="9" t="str">
        <f t="shared" si="2"/>
        <v/>
      </c>
      <c r="M24" s="15" t="str">
        <f t="shared" si="6"/>
        <v/>
      </c>
      <c r="N24" t="str">
        <f t="shared" si="3"/>
        <v/>
      </c>
    </row>
    <row r="25" spans="4:14" x14ac:dyDescent="0.25">
      <c r="D25">
        <v>0</v>
      </c>
      <c r="E25" t="str">
        <f t="shared" si="0"/>
        <v>000</v>
      </c>
      <c r="G25" s="14" t="str">
        <f t="shared" si="4"/>
        <v>000</v>
      </c>
      <c r="H25" s="9" t="str">
        <f>IF(OR(G25=G24,BITWISE_XOR(G24,G25)=VALUE("111")),"",LEFT(G25,2))</f>
        <v/>
      </c>
      <c r="I25" s="9" t="str">
        <f>IF(OR(G25=G24,BITWISE_XOR(G24,G25)=VALUE("111")),"",RIGHT(G25,1))</f>
        <v/>
      </c>
      <c r="J25" s="9" t="b">
        <f>BITWISE_XOR(BIN2DEC(G24),7)=BIN2DEC(G25)</f>
        <v>0</v>
      </c>
      <c r="K25" s="9">
        <f t="shared" si="5"/>
        <v>0</v>
      </c>
      <c r="L25" s="9" t="str">
        <f t="shared" si="2"/>
        <v/>
      </c>
      <c r="M25" s="15" t="str">
        <f t="shared" si="6"/>
        <v/>
      </c>
      <c r="N25" t="str">
        <f t="shared" si="3"/>
        <v/>
      </c>
    </row>
    <row r="26" spans="4:14" x14ac:dyDescent="0.25">
      <c r="D26">
        <v>0</v>
      </c>
      <c r="E26" t="str">
        <f t="shared" si="0"/>
        <v>000</v>
      </c>
      <c r="G26" s="14" t="str">
        <f t="shared" si="4"/>
        <v>000</v>
      </c>
      <c r="H26" s="9" t="str">
        <f>IF(OR(G26=G25,BITWISE_XOR(G25,G26)=VALUE("111")),"",LEFT(G26,2))</f>
        <v/>
      </c>
      <c r="I26" s="9" t="str">
        <f>IF(OR(G26=G25,BITWISE_XOR(G25,G26)=VALUE("111")),"",RIGHT(G26,1))</f>
        <v/>
      </c>
      <c r="J26" s="9" t="b">
        <f>BITWISE_XOR(BIN2DEC(G25),7)=BIN2DEC(G26)</f>
        <v>0</v>
      </c>
      <c r="K26" s="9">
        <f t="shared" si="5"/>
        <v>0</v>
      </c>
      <c r="L26" s="9" t="str">
        <f t="shared" si="2"/>
        <v/>
      </c>
      <c r="M26" s="15" t="str">
        <f t="shared" si="6"/>
        <v/>
      </c>
      <c r="N26" t="str">
        <f t="shared" si="3"/>
        <v/>
      </c>
    </row>
    <row r="27" spans="4:14" x14ac:dyDescent="0.25">
      <c r="D27">
        <v>0</v>
      </c>
      <c r="E27" t="str">
        <f t="shared" si="0"/>
        <v>000</v>
      </c>
      <c r="G27" s="14" t="str">
        <f t="shared" si="4"/>
        <v>000</v>
      </c>
      <c r="H27" s="9" t="str">
        <f>IF(OR(G27=G26,BITWISE_XOR(G26,G27)=VALUE("111")),"",LEFT(G27,2))</f>
        <v/>
      </c>
      <c r="I27" s="9" t="str">
        <f>IF(OR(G27=G26,BITWISE_XOR(G26,G27)=VALUE("111")),"",RIGHT(G27,1))</f>
        <v/>
      </c>
      <c r="J27" s="9" t="b">
        <f>BITWISE_XOR(BIN2DEC(G26),7)=BIN2DEC(G27)</f>
        <v>0</v>
      </c>
      <c r="K27" s="9">
        <f t="shared" si="5"/>
        <v>0</v>
      </c>
      <c r="L27" s="9" t="str">
        <f t="shared" si="2"/>
        <v/>
      </c>
      <c r="M27" s="15" t="str">
        <f t="shared" si="6"/>
        <v/>
      </c>
      <c r="N27" t="str">
        <f t="shared" si="3"/>
        <v/>
      </c>
    </row>
    <row r="28" spans="4:14" x14ac:dyDescent="0.25">
      <c r="D28">
        <v>7</v>
      </c>
      <c r="E28" t="str">
        <f t="shared" si="0"/>
        <v>111</v>
      </c>
      <c r="G28" s="14" t="str">
        <f t="shared" si="4"/>
        <v>111</v>
      </c>
      <c r="H28" s="9" t="str">
        <f>IF(OR(G28=G27,BITWISE_XOR(G27,G28)=VALUE("111")),"",LEFT(G28,2))</f>
        <v/>
      </c>
      <c r="I28" s="9" t="str">
        <f>IF(OR(G28=G27,BITWISE_XOR(G27,G28)=VALUE("111")),"",RIGHT(G28,1))</f>
        <v/>
      </c>
      <c r="J28" s="9" t="b">
        <f>BITWISE_XOR(BIN2DEC(G27),7)=BIN2DEC(G28)</f>
        <v>1</v>
      </c>
      <c r="K28" s="9">
        <f t="shared" si="5"/>
        <v>0</v>
      </c>
      <c r="L28" s="9" t="str">
        <f t="shared" si="2"/>
        <v/>
      </c>
      <c r="M28" s="15" t="str">
        <f t="shared" si="6"/>
        <v/>
      </c>
      <c r="N28" t="str">
        <f t="shared" si="3"/>
        <v/>
      </c>
    </row>
    <row r="29" spans="4:14" x14ac:dyDescent="0.25">
      <c r="D29">
        <v>7</v>
      </c>
      <c r="E29" t="str">
        <f t="shared" si="0"/>
        <v>111</v>
      </c>
      <c r="G29" s="14" t="str">
        <f t="shared" si="4"/>
        <v>111</v>
      </c>
      <c r="H29" s="9" t="str">
        <f>IF(OR(G29=G28,BITWISE_XOR(G28,G29)=VALUE("111")),"",LEFT(G29,2))</f>
        <v/>
      </c>
      <c r="I29" s="9" t="str">
        <f>IF(OR(G29=G28,BITWISE_XOR(G28,G29)=VALUE("111")),"",RIGHT(G29,1))</f>
        <v/>
      </c>
      <c r="J29" s="9" t="b">
        <f>BITWISE_XOR(BIN2DEC(G28),7)=BIN2DEC(G29)</f>
        <v>0</v>
      </c>
      <c r="K29" s="9">
        <f t="shared" si="5"/>
        <v>0</v>
      </c>
      <c r="L29" s="9" t="str">
        <f t="shared" si="2"/>
        <v/>
      </c>
      <c r="M29" s="15" t="str">
        <f t="shared" si="6"/>
        <v/>
      </c>
      <c r="N29" t="str">
        <f t="shared" si="3"/>
        <v/>
      </c>
    </row>
    <row r="30" spans="4:14" x14ac:dyDescent="0.25">
      <c r="D30">
        <v>7</v>
      </c>
      <c r="E30" t="str">
        <f t="shared" si="0"/>
        <v>111</v>
      </c>
      <c r="G30" s="14" t="str">
        <f t="shared" si="4"/>
        <v>111</v>
      </c>
      <c r="H30" s="9" t="str">
        <f>IF(OR(G30=G29,BITWISE_XOR(G29,G30)=VALUE("111")),"",LEFT(G30,2))</f>
        <v/>
      </c>
      <c r="I30" s="9" t="str">
        <f>IF(OR(G30=G29,BITWISE_XOR(G29,G30)=VALUE("111")),"",RIGHT(G30,1))</f>
        <v/>
      </c>
      <c r="J30" s="9" t="b">
        <f>BITWISE_XOR(BIN2DEC(G29),7)=BIN2DEC(G30)</f>
        <v>0</v>
      </c>
      <c r="K30" s="9">
        <f t="shared" si="5"/>
        <v>0</v>
      </c>
      <c r="L30" s="9" t="str">
        <f t="shared" si="2"/>
        <v/>
      </c>
      <c r="M30" s="15" t="str">
        <f t="shared" si="6"/>
        <v/>
      </c>
      <c r="N30" t="str">
        <f t="shared" si="3"/>
        <v/>
      </c>
    </row>
    <row r="31" spans="4:14" x14ac:dyDescent="0.25">
      <c r="D31">
        <v>7</v>
      </c>
      <c r="E31" t="str">
        <f t="shared" si="0"/>
        <v>111</v>
      </c>
      <c r="G31" s="14" t="str">
        <f t="shared" si="4"/>
        <v>111</v>
      </c>
      <c r="H31" s="9" t="str">
        <f>IF(OR(G31=G30,BITWISE_XOR(G30,G31)=VALUE("111")),"",LEFT(G31,2))</f>
        <v/>
      </c>
      <c r="I31" s="9" t="str">
        <f>IF(OR(G31=G30,BITWISE_XOR(G30,G31)=VALUE("111")),"",RIGHT(G31,1))</f>
        <v/>
      </c>
      <c r="J31" s="9" t="b">
        <f>BITWISE_XOR(BIN2DEC(G30),7)=BIN2DEC(G31)</f>
        <v>0</v>
      </c>
      <c r="K31" s="9">
        <f t="shared" si="5"/>
        <v>0</v>
      </c>
      <c r="L31" s="9" t="str">
        <f t="shared" si="2"/>
        <v/>
      </c>
      <c r="M31" s="15" t="str">
        <f t="shared" si="6"/>
        <v/>
      </c>
      <c r="N31" t="str">
        <f>IF(M31&lt;&gt;"",CHAR(M31),"")</f>
        <v/>
      </c>
    </row>
    <row r="32" spans="4:14" x14ac:dyDescent="0.25">
      <c r="D32">
        <v>7</v>
      </c>
      <c r="E32" t="str">
        <f t="shared" si="0"/>
        <v>111</v>
      </c>
      <c r="G32" s="14" t="str">
        <f t="shared" si="4"/>
        <v>111</v>
      </c>
      <c r="H32" s="9" t="str">
        <f>IF(OR(G32=G31,BITWISE_XOR(G31,G32)=VALUE("111")),"",LEFT(G32,2))</f>
        <v/>
      </c>
      <c r="I32" s="9" t="str">
        <f>IF(OR(G32=G31,BITWISE_XOR(G31,G32)=VALUE("111")),"",RIGHT(G32,1))</f>
        <v/>
      </c>
      <c r="J32" s="9" t="b">
        <f>BITWISE_XOR(BIN2DEC(G31),7)=BIN2DEC(G32)</f>
        <v>0</v>
      </c>
      <c r="K32" s="9">
        <f t="shared" si="5"/>
        <v>0</v>
      </c>
      <c r="L32" s="9" t="str">
        <f t="shared" si="2"/>
        <v/>
      </c>
      <c r="M32" s="15" t="str">
        <f t="shared" si="6"/>
        <v/>
      </c>
      <c r="N32" t="str">
        <f t="shared" ref="N32:N95" si="7">IF(M32&lt;&gt;"",CHAR(M32),"")</f>
        <v/>
      </c>
    </row>
    <row r="33" spans="4:14" x14ac:dyDescent="0.25">
      <c r="D33">
        <v>7</v>
      </c>
      <c r="E33" t="str">
        <f t="shared" si="0"/>
        <v>111</v>
      </c>
      <c r="G33" s="14" t="str">
        <f t="shared" si="4"/>
        <v>111</v>
      </c>
      <c r="H33" s="9" t="str">
        <f>IF(OR(G33=G32,BITWISE_XOR(G32,G33)=VALUE("111")),"",LEFT(G33,2))</f>
        <v/>
      </c>
      <c r="I33" s="9" t="str">
        <f>IF(OR(G33=G32,BITWISE_XOR(G32,G33)=VALUE("111")),"",RIGHT(G33,1))</f>
        <v/>
      </c>
      <c r="J33" s="9" t="b">
        <f>BITWISE_XOR(BIN2DEC(G32),7)=BIN2DEC(G33)</f>
        <v>0</v>
      </c>
      <c r="K33" s="9">
        <f t="shared" si="5"/>
        <v>0</v>
      </c>
      <c r="L33" s="9" t="str">
        <f t="shared" si="2"/>
        <v/>
      </c>
      <c r="M33" s="15" t="str">
        <f t="shared" si="6"/>
        <v/>
      </c>
      <c r="N33" t="str">
        <f t="shared" si="7"/>
        <v/>
      </c>
    </row>
    <row r="34" spans="4:14" x14ac:dyDescent="0.25">
      <c r="D34">
        <v>7</v>
      </c>
      <c r="E34" t="str">
        <f t="shared" si="0"/>
        <v>111</v>
      </c>
      <c r="G34" s="14" t="str">
        <f t="shared" si="4"/>
        <v>111</v>
      </c>
      <c r="H34" s="9" t="str">
        <f>IF(OR(G34=G33,BITWISE_XOR(G33,G34)=VALUE("111")),"",LEFT(G34,2))</f>
        <v/>
      </c>
      <c r="I34" s="9" t="str">
        <f>IF(OR(G34=G33,BITWISE_XOR(G33,G34)=VALUE("111")),"",RIGHT(G34,1))</f>
        <v/>
      </c>
      <c r="J34" s="9" t="b">
        <f>BITWISE_XOR(BIN2DEC(G33),7)=BIN2DEC(G34)</f>
        <v>0</v>
      </c>
      <c r="K34" s="9">
        <f t="shared" si="5"/>
        <v>0</v>
      </c>
      <c r="L34" s="9" t="str">
        <f t="shared" si="2"/>
        <v/>
      </c>
      <c r="M34" s="15" t="str">
        <f t="shared" si="6"/>
        <v/>
      </c>
      <c r="N34" t="str">
        <f t="shared" si="7"/>
        <v/>
      </c>
    </row>
    <row r="35" spans="4:14" x14ac:dyDescent="0.25">
      <c r="D35">
        <v>0</v>
      </c>
      <c r="E35" t="str">
        <f t="shared" si="0"/>
        <v>000</v>
      </c>
      <c r="G35" s="14" t="str">
        <f t="shared" si="4"/>
        <v>000</v>
      </c>
      <c r="H35" s="9" t="str">
        <f>IF(OR(G35=G34,BITWISE_XOR(G34,G35)=VALUE("111")),"",LEFT(G35,2))</f>
        <v/>
      </c>
      <c r="I35" s="9" t="str">
        <f>IF(OR(G35=G34,BITWISE_XOR(G34,G35)=VALUE("111")),"",RIGHT(G35,1))</f>
        <v/>
      </c>
      <c r="J35" s="9" t="b">
        <f>BITWISE_XOR(BIN2DEC(G34),7)=BIN2DEC(G35)</f>
        <v>1</v>
      </c>
      <c r="K35" s="9">
        <f t="shared" si="5"/>
        <v>0</v>
      </c>
      <c r="L35" s="9" t="str">
        <f t="shared" si="2"/>
        <v/>
      </c>
      <c r="M35" s="15" t="str">
        <f t="shared" si="6"/>
        <v/>
      </c>
      <c r="N35" t="str">
        <f t="shared" si="7"/>
        <v/>
      </c>
    </row>
    <row r="36" spans="4:14" x14ac:dyDescent="0.25">
      <c r="D36">
        <v>0</v>
      </c>
      <c r="E36" t="str">
        <f t="shared" si="0"/>
        <v>000</v>
      </c>
      <c r="G36" s="14" t="str">
        <f t="shared" si="4"/>
        <v>000</v>
      </c>
      <c r="H36" s="9" t="str">
        <f>IF(OR(G36=G35,BITWISE_XOR(G35,G36)=VALUE("111")),"",LEFT(G36,2))</f>
        <v/>
      </c>
      <c r="I36" s="9" t="str">
        <f>IF(OR(G36=G35,BITWISE_XOR(G35,G36)=VALUE("111")),"",RIGHT(G36,1))</f>
        <v/>
      </c>
      <c r="J36" s="9" t="b">
        <f>BITWISE_XOR(BIN2DEC(G35),7)=BIN2DEC(G36)</f>
        <v>0</v>
      </c>
      <c r="K36" s="9">
        <f t="shared" si="5"/>
        <v>0</v>
      </c>
      <c r="L36" s="9" t="str">
        <f t="shared" si="2"/>
        <v/>
      </c>
      <c r="M36" s="15" t="str">
        <f t="shared" si="6"/>
        <v/>
      </c>
      <c r="N36" t="str">
        <f t="shared" si="7"/>
        <v/>
      </c>
    </row>
    <row r="37" spans="4:14" x14ac:dyDescent="0.25">
      <c r="D37">
        <v>0</v>
      </c>
      <c r="E37" t="str">
        <f t="shared" si="0"/>
        <v>000</v>
      </c>
      <c r="G37" s="14" t="str">
        <f t="shared" si="4"/>
        <v>000</v>
      </c>
      <c r="H37" s="9" t="str">
        <f>IF(OR(G37=G36,BITWISE_XOR(G36,G37)=VALUE("111")),"",LEFT(G37,2))</f>
        <v/>
      </c>
      <c r="I37" s="9" t="str">
        <f>IF(OR(G37=G36,BITWISE_XOR(G36,G37)=VALUE("111")),"",RIGHT(G37,1))</f>
        <v/>
      </c>
      <c r="J37" s="9" t="b">
        <f>BITWISE_XOR(BIN2DEC(G36),7)=BIN2DEC(G37)</f>
        <v>0</v>
      </c>
      <c r="K37" s="9">
        <f t="shared" si="5"/>
        <v>0</v>
      </c>
      <c r="L37" s="9" t="str">
        <f t="shared" si="2"/>
        <v/>
      </c>
      <c r="M37" s="15" t="str">
        <f t="shared" si="6"/>
        <v/>
      </c>
      <c r="N37" t="str">
        <f t="shared" si="7"/>
        <v/>
      </c>
    </row>
    <row r="38" spans="4:14" x14ac:dyDescent="0.25">
      <c r="D38">
        <v>0</v>
      </c>
      <c r="E38" t="str">
        <f t="shared" si="0"/>
        <v>000</v>
      </c>
      <c r="G38" s="14" t="str">
        <f t="shared" si="4"/>
        <v>000</v>
      </c>
      <c r="H38" s="9" t="str">
        <f>IF(OR(G38=G37,BITWISE_XOR(G37,G38)=VALUE("111")),"",LEFT(G38,2))</f>
        <v/>
      </c>
      <c r="I38" s="9" t="str">
        <f>IF(OR(G38=G37,BITWISE_XOR(G37,G38)=VALUE("111")),"",RIGHT(G38,1))</f>
        <v/>
      </c>
      <c r="J38" s="9" t="b">
        <f>BITWISE_XOR(BIN2DEC(G37),7)=BIN2DEC(G38)</f>
        <v>0</v>
      </c>
      <c r="K38" s="9">
        <f t="shared" si="5"/>
        <v>0</v>
      </c>
      <c r="L38" s="9" t="str">
        <f t="shared" si="2"/>
        <v/>
      </c>
      <c r="M38" s="15" t="str">
        <f t="shared" si="6"/>
        <v/>
      </c>
      <c r="N38" t="str">
        <f t="shared" si="7"/>
        <v/>
      </c>
    </row>
    <row r="39" spans="4:14" x14ac:dyDescent="0.25">
      <c r="D39">
        <v>0</v>
      </c>
      <c r="E39" t="str">
        <f t="shared" si="0"/>
        <v>000</v>
      </c>
      <c r="G39" s="14" t="str">
        <f t="shared" si="4"/>
        <v>000</v>
      </c>
      <c r="H39" s="9" t="str">
        <f>IF(OR(G39=G38,BITWISE_XOR(G38,G39)=VALUE("111")),"",LEFT(G39,2))</f>
        <v/>
      </c>
      <c r="I39" s="9" t="str">
        <f>IF(OR(G39=G38,BITWISE_XOR(G38,G39)=VALUE("111")),"",RIGHT(G39,1))</f>
        <v/>
      </c>
      <c r="J39" s="9" t="b">
        <f>BITWISE_XOR(BIN2DEC(G38),7)=BIN2DEC(G39)</f>
        <v>0</v>
      </c>
      <c r="K39" s="9">
        <f t="shared" si="5"/>
        <v>0</v>
      </c>
      <c r="L39" s="9" t="str">
        <f t="shared" si="2"/>
        <v/>
      </c>
      <c r="M39" s="15" t="str">
        <f t="shared" si="6"/>
        <v/>
      </c>
      <c r="N39" t="str">
        <f t="shared" si="7"/>
        <v/>
      </c>
    </row>
    <row r="40" spans="4:14" x14ac:dyDescent="0.25">
      <c r="D40">
        <v>0</v>
      </c>
      <c r="E40" t="str">
        <f t="shared" si="0"/>
        <v>000</v>
      </c>
      <c r="G40" s="14" t="str">
        <f t="shared" si="4"/>
        <v>000</v>
      </c>
      <c r="H40" s="9" t="str">
        <f>IF(OR(G40=G39,BITWISE_XOR(G39,G40)=VALUE("111")),"",LEFT(G40,2))</f>
        <v/>
      </c>
      <c r="I40" s="9" t="str">
        <f>IF(OR(G40=G39,BITWISE_XOR(G39,G40)=VALUE("111")),"",RIGHT(G40,1))</f>
        <v/>
      </c>
      <c r="J40" s="9" t="b">
        <f>BITWISE_XOR(BIN2DEC(G39),7)=BIN2DEC(G40)</f>
        <v>0</v>
      </c>
      <c r="K40" s="9">
        <f t="shared" si="5"/>
        <v>0</v>
      </c>
      <c r="L40" s="9" t="str">
        <f t="shared" si="2"/>
        <v/>
      </c>
      <c r="M40" s="15" t="str">
        <f t="shared" si="6"/>
        <v/>
      </c>
      <c r="N40" t="str">
        <f t="shared" si="7"/>
        <v/>
      </c>
    </row>
    <row r="41" spans="4:14" x14ac:dyDescent="0.25">
      <c r="D41">
        <v>0</v>
      </c>
      <c r="E41" t="str">
        <f t="shared" si="0"/>
        <v>000</v>
      </c>
      <c r="G41" s="14" t="str">
        <f t="shared" si="4"/>
        <v>000</v>
      </c>
      <c r="H41" s="9" t="str">
        <f>IF(OR(G41=G40,BITWISE_XOR(G40,G41)=VALUE("111")),"",LEFT(G41,2))</f>
        <v/>
      </c>
      <c r="I41" s="9" t="str">
        <f>IF(OR(G41=G40,BITWISE_XOR(G40,G41)=VALUE("111")),"",RIGHT(G41,1))</f>
        <v/>
      </c>
      <c r="J41" s="9" t="b">
        <f>BITWISE_XOR(BIN2DEC(G40),7)=BIN2DEC(G41)</f>
        <v>0</v>
      </c>
      <c r="K41" s="9">
        <f t="shared" si="5"/>
        <v>0</v>
      </c>
      <c r="L41" s="9" t="str">
        <f t="shared" si="2"/>
        <v/>
      </c>
      <c r="M41" s="15" t="str">
        <f t="shared" si="6"/>
        <v/>
      </c>
      <c r="N41" t="str">
        <f t="shared" si="7"/>
        <v/>
      </c>
    </row>
    <row r="42" spans="4:14" x14ac:dyDescent="0.25">
      <c r="D42">
        <v>1</v>
      </c>
      <c r="E42" t="str">
        <f t="shared" si="0"/>
        <v>001</v>
      </c>
      <c r="G42" s="14" t="str">
        <f t="shared" si="4"/>
        <v>001</v>
      </c>
      <c r="H42" s="9" t="str">
        <f>IF(OR(G42=G41,BITWISE_XOR(G41,G42)=VALUE("111")),"",LEFT(G42,2))</f>
        <v>00</v>
      </c>
      <c r="I42" s="9" t="str">
        <f>IF(OR(G42=G41,BITWISE_XOR(G41,G42)=VALUE("111")),"",RIGHT(G42,1))</f>
        <v>1</v>
      </c>
      <c r="J42" s="9" t="b">
        <f>BITWISE_XOR(BIN2DEC(G41),7)=BIN2DEC(G42)</f>
        <v>0</v>
      </c>
      <c r="K42" s="9">
        <f t="shared" si="5"/>
        <v>1</v>
      </c>
      <c r="L42" s="9" t="str">
        <f t="shared" si="2"/>
        <v>00</v>
      </c>
      <c r="M42" s="15" t="str">
        <f t="shared" si="6"/>
        <v/>
      </c>
      <c r="N42" t="str">
        <f t="shared" si="7"/>
        <v/>
      </c>
    </row>
    <row r="43" spans="4:14" x14ac:dyDescent="0.25">
      <c r="D43">
        <v>1</v>
      </c>
      <c r="E43" t="str">
        <f t="shared" si="0"/>
        <v>001</v>
      </c>
      <c r="G43" s="14" t="str">
        <f t="shared" si="4"/>
        <v>001</v>
      </c>
      <c r="H43" s="9" t="str">
        <f>IF(OR(G43=G42,BITWISE_XOR(G42,G43)=VALUE("111")),"",LEFT(G43,2))</f>
        <v/>
      </c>
      <c r="I43" s="9" t="str">
        <f>IF(OR(G43=G42,BITWISE_XOR(G42,G43)=VALUE("111")),"",RIGHT(G43,1))</f>
        <v/>
      </c>
      <c r="J43" s="9" t="b">
        <f>BITWISE_XOR(BIN2DEC(G42),7)=BIN2DEC(G43)</f>
        <v>0</v>
      </c>
      <c r="K43" s="9">
        <f t="shared" si="5"/>
        <v>1</v>
      </c>
      <c r="L43" s="9" t="str">
        <f t="shared" si="2"/>
        <v>00</v>
      </c>
      <c r="M43" s="15" t="str">
        <f t="shared" si="6"/>
        <v/>
      </c>
      <c r="N43" t="str">
        <f t="shared" si="7"/>
        <v/>
      </c>
    </row>
    <row r="44" spans="4:14" x14ac:dyDescent="0.25">
      <c r="D44">
        <v>1</v>
      </c>
      <c r="E44" t="str">
        <f t="shared" si="0"/>
        <v>001</v>
      </c>
      <c r="G44" s="14" t="str">
        <f t="shared" si="4"/>
        <v>001</v>
      </c>
      <c r="H44" s="9" t="str">
        <f>IF(OR(G44=G43,BITWISE_XOR(G43,G44)=VALUE("111")),"",LEFT(G44,2))</f>
        <v/>
      </c>
      <c r="I44" s="9" t="str">
        <f>IF(OR(G44=G43,BITWISE_XOR(G43,G44)=VALUE("111")),"",RIGHT(G44,1))</f>
        <v/>
      </c>
      <c r="J44" s="9" t="b">
        <f>BITWISE_XOR(BIN2DEC(G43),7)=BIN2DEC(G44)</f>
        <v>0</v>
      </c>
      <c r="K44" s="9">
        <f t="shared" si="5"/>
        <v>1</v>
      </c>
      <c r="L44" s="9" t="str">
        <f t="shared" si="2"/>
        <v>00</v>
      </c>
      <c r="M44" s="15" t="str">
        <f t="shared" si="6"/>
        <v/>
      </c>
      <c r="N44" t="str">
        <f t="shared" si="7"/>
        <v/>
      </c>
    </row>
    <row r="45" spans="4:14" x14ac:dyDescent="0.25">
      <c r="D45">
        <v>1</v>
      </c>
      <c r="E45" t="str">
        <f t="shared" si="0"/>
        <v>001</v>
      </c>
      <c r="G45" s="14" t="str">
        <f t="shared" si="4"/>
        <v>001</v>
      </c>
      <c r="H45" s="9" t="str">
        <f>IF(OR(G45=G44,BITWISE_XOR(G44,G45)=VALUE("111")),"",LEFT(G45,2))</f>
        <v/>
      </c>
      <c r="I45" s="9" t="str">
        <f>IF(OR(G45=G44,BITWISE_XOR(G44,G45)=VALUE("111")),"",RIGHT(G45,1))</f>
        <v/>
      </c>
      <c r="J45" s="9" t="b">
        <f>BITWISE_XOR(BIN2DEC(G44),7)=BIN2DEC(G45)</f>
        <v>0</v>
      </c>
      <c r="K45" s="9">
        <f t="shared" si="5"/>
        <v>1</v>
      </c>
      <c r="L45" s="9" t="str">
        <f t="shared" si="2"/>
        <v>00</v>
      </c>
      <c r="M45" s="15" t="str">
        <f t="shared" si="6"/>
        <v/>
      </c>
      <c r="N45" t="str">
        <f t="shared" si="7"/>
        <v/>
      </c>
    </row>
    <row r="46" spans="4:14" x14ac:dyDescent="0.25">
      <c r="D46">
        <v>1</v>
      </c>
      <c r="E46" t="str">
        <f t="shared" si="0"/>
        <v>001</v>
      </c>
      <c r="G46" s="14" t="str">
        <f t="shared" si="4"/>
        <v>001</v>
      </c>
      <c r="H46" s="9" t="str">
        <f>IF(OR(G46=G45,BITWISE_XOR(G45,G46)=VALUE("111")),"",LEFT(G46,2))</f>
        <v/>
      </c>
      <c r="I46" s="9" t="str">
        <f>IF(OR(G46=G45,BITWISE_XOR(G45,G46)=VALUE("111")),"",RIGHT(G46,1))</f>
        <v/>
      </c>
      <c r="J46" s="9" t="b">
        <f>BITWISE_XOR(BIN2DEC(G45),7)=BIN2DEC(G46)</f>
        <v>0</v>
      </c>
      <c r="K46" s="9">
        <f t="shared" si="5"/>
        <v>1</v>
      </c>
      <c r="L46" s="9" t="str">
        <f t="shared" si="2"/>
        <v>00</v>
      </c>
      <c r="M46" s="15" t="str">
        <f t="shared" si="6"/>
        <v/>
      </c>
      <c r="N46" t="str">
        <f t="shared" si="7"/>
        <v/>
      </c>
    </row>
    <row r="47" spans="4:14" x14ac:dyDescent="0.25">
      <c r="D47">
        <v>1</v>
      </c>
      <c r="E47" t="str">
        <f t="shared" si="0"/>
        <v>001</v>
      </c>
      <c r="G47" s="14" t="str">
        <f t="shared" si="4"/>
        <v>001</v>
      </c>
      <c r="H47" s="9" t="str">
        <f>IF(OR(G47=G46,BITWISE_XOR(G46,G47)=VALUE("111")),"",LEFT(G47,2))</f>
        <v/>
      </c>
      <c r="I47" s="9" t="str">
        <f>IF(OR(G47=G46,BITWISE_XOR(G46,G47)=VALUE("111")),"",RIGHT(G47,1))</f>
        <v/>
      </c>
      <c r="J47" s="9" t="b">
        <f>BITWISE_XOR(BIN2DEC(G46),7)=BIN2DEC(G47)</f>
        <v>0</v>
      </c>
      <c r="K47" s="9">
        <f t="shared" si="5"/>
        <v>1</v>
      </c>
      <c r="L47" s="9" t="str">
        <f t="shared" si="2"/>
        <v>00</v>
      </c>
      <c r="M47" s="15" t="str">
        <f t="shared" si="6"/>
        <v/>
      </c>
      <c r="N47" t="str">
        <f t="shared" si="7"/>
        <v/>
      </c>
    </row>
    <row r="48" spans="4:14" x14ac:dyDescent="0.25">
      <c r="D48">
        <v>1</v>
      </c>
      <c r="E48" t="str">
        <f t="shared" si="0"/>
        <v>001</v>
      </c>
      <c r="G48" s="14" t="str">
        <f t="shared" si="4"/>
        <v>001</v>
      </c>
      <c r="H48" s="9" t="str">
        <f>IF(OR(G48=G47,BITWISE_XOR(G47,G48)=VALUE("111")),"",LEFT(G48,2))</f>
        <v/>
      </c>
      <c r="I48" s="9" t="str">
        <f>IF(OR(G48=G47,BITWISE_XOR(G47,G48)=VALUE("111")),"",RIGHT(G48,1))</f>
        <v/>
      </c>
      <c r="J48" s="9" t="b">
        <f>BITWISE_XOR(BIN2DEC(G47),7)=BIN2DEC(G48)</f>
        <v>0</v>
      </c>
      <c r="K48" s="9">
        <f t="shared" si="5"/>
        <v>1</v>
      </c>
      <c r="L48" s="9" t="str">
        <f t="shared" si="2"/>
        <v>00</v>
      </c>
      <c r="M48" s="15" t="str">
        <f t="shared" si="6"/>
        <v/>
      </c>
      <c r="N48" t="str">
        <f t="shared" si="7"/>
        <v/>
      </c>
    </row>
    <row r="49" spans="4:14" x14ac:dyDescent="0.25">
      <c r="D49">
        <v>5</v>
      </c>
      <c r="E49" t="str">
        <f t="shared" ref="E49:E112" si="8">DEC2BIN(D49,3)</f>
        <v>101</v>
      </c>
      <c r="G49" s="14" t="str">
        <f t="shared" si="4"/>
        <v>101</v>
      </c>
      <c r="H49" s="9" t="str">
        <f>IF(OR(G49=G48,BITWISE_XOR(G48,G49)=VALUE("111")),"",LEFT(G49,2))</f>
        <v>10</v>
      </c>
      <c r="I49" s="9" t="str">
        <f>IF(OR(G49=G48,BITWISE_XOR(G48,G49)=VALUE("111")),"",RIGHT(G49,1))</f>
        <v>1</v>
      </c>
      <c r="J49" s="9" t="b">
        <f>BITWISE_XOR(BIN2DEC(G48),7)=BIN2DEC(G49)</f>
        <v>0</v>
      </c>
      <c r="K49" s="9">
        <f t="shared" si="5"/>
        <v>2</v>
      </c>
      <c r="L49" s="9" t="str">
        <f t="shared" si="2"/>
        <v>1000</v>
      </c>
      <c r="M49" s="15" t="str">
        <f t="shared" si="6"/>
        <v/>
      </c>
      <c r="N49" t="str">
        <f t="shared" si="7"/>
        <v/>
      </c>
    </row>
    <row r="50" spans="4:14" x14ac:dyDescent="0.25">
      <c r="D50">
        <v>5</v>
      </c>
      <c r="E50" t="str">
        <f t="shared" si="8"/>
        <v>101</v>
      </c>
      <c r="G50" s="14" t="str">
        <f t="shared" si="4"/>
        <v>101</v>
      </c>
      <c r="H50" s="9" t="str">
        <f>IF(OR(G50=G49,BITWISE_XOR(G49,G50)=VALUE("111")),"",LEFT(G50,2))</f>
        <v/>
      </c>
      <c r="I50" s="9" t="str">
        <f>IF(OR(G50=G49,BITWISE_XOR(G49,G50)=VALUE("111")),"",RIGHT(G50,1))</f>
        <v/>
      </c>
      <c r="J50" s="9" t="b">
        <f>BITWISE_XOR(BIN2DEC(G49),7)=BIN2DEC(G50)</f>
        <v>0</v>
      </c>
      <c r="K50" s="9">
        <f t="shared" si="5"/>
        <v>2</v>
      </c>
      <c r="L50" s="9" t="str">
        <f t="shared" si="2"/>
        <v>1000</v>
      </c>
      <c r="M50" s="15" t="str">
        <f t="shared" si="6"/>
        <v/>
      </c>
      <c r="N50" t="str">
        <f t="shared" si="7"/>
        <v/>
      </c>
    </row>
    <row r="51" spans="4:14" x14ac:dyDescent="0.25">
      <c r="D51">
        <v>5</v>
      </c>
      <c r="E51" t="str">
        <f t="shared" si="8"/>
        <v>101</v>
      </c>
      <c r="G51" s="14" t="str">
        <f t="shared" ref="G51:G72" si="9">E51</f>
        <v>101</v>
      </c>
      <c r="H51" s="9" t="str">
        <f>IF(OR(G51=G50,BITWISE_XOR(G50,G51)=VALUE("111")),"",LEFT(G51,2))</f>
        <v/>
      </c>
      <c r="I51" s="9" t="str">
        <f>IF(OR(G51=G50,BITWISE_XOR(G50,G51)=VALUE("111")),"",RIGHT(G51,1))</f>
        <v/>
      </c>
      <c r="J51" s="9" t="b">
        <f>BITWISE_XOR(BIN2DEC(G50),7)=BIN2DEC(G51)</f>
        <v>0</v>
      </c>
      <c r="K51" s="9">
        <f t="shared" ref="K51:K72" si="10">IF(J51=TRUE,0,(IF((H51=""),K50,MOD((K50+1),4))))</f>
        <v>2</v>
      </c>
      <c r="L51" s="9" t="str">
        <f t="shared" si="2"/>
        <v>1000</v>
      </c>
      <c r="M51" s="15" t="str">
        <f t="shared" ref="M51:M72" si="11">IF(AND(K51=0,K50=3),BIN2DEC(L51),"")</f>
        <v/>
      </c>
      <c r="N51" t="str">
        <f t="shared" si="7"/>
        <v/>
      </c>
    </row>
    <row r="52" spans="4:14" x14ac:dyDescent="0.25">
      <c r="D52">
        <v>5</v>
      </c>
      <c r="E52" t="str">
        <f t="shared" si="8"/>
        <v>101</v>
      </c>
      <c r="G52" s="14" t="str">
        <f t="shared" si="9"/>
        <v>101</v>
      </c>
      <c r="H52" s="9" t="str">
        <f>IF(OR(G52=G51,BITWISE_XOR(G51,G52)=VALUE("111")),"",LEFT(G52,2))</f>
        <v/>
      </c>
      <c r="I52" s="9" t="str">
        <f>IF(OR(G52=G51,BITWISE_XOR(G51,G52)=VALUE("111")),"",RIGHT(G52,1))</f>
        <v/>
      </c>
      <c r="J52" s="9" t="b">
        <f>BITWISE_XOR(BIN2DEC(G51),7)=BIN2DEC(G52)</f>
        <v>0</v>
      </c>
      <c r="K52" s="9">
        <f t="shared" si="10"/>
        <v>2</v>
      </c>
      <c r="L52" s="9" t="str">
        <f t="shared" si="2"/>
        <v>1000</v>
      </c>
      <c r="M52" s="15" t="str">
        <f t="shared" si="11"/>
        <v/>
      </c>
      <c r="N52" t="str">
        <f t="shared" si="7"/>
        <v/>
      </c>
    </row>
    <row r="53" spans="4:14" x14ac:dyDescent="0.25">
      <c r="D53">
        <v>5</v>
      </c>
      <c r="E53" t="str">
        <f t="shared" si="8"/>
        <v>101</v>
      </c>
      <c r="G53" s="14" t="str">
        <f t="shared" si="9"/>
        <v>101</v>
      </c>
      <c r="H53" s="9" t="str">
        <f>IF(OR(G53=G52,BITWISE_XOR(G52,G53)=VALUE("111")),"",LEFT(G53,2))</f>
        <v/>
      </c>
      <c r="I53" s="9" t="str">
        <f>IF(OR(G53=G52,BITWISE_XOR(G52,G53)=VALUE("111")),"",RIGHT(G53,1))</f>
        <v/>
      </c>
      <c r="J53" s="9" t="b">
        <f>BITWISE_XOR(BIN2DEC(G52),7)=BIN2DEC(G53)</f>
        <v>0</v>
      </c>
      <c r="K53" s="9">
        <f t="shared" si="10"/>
        <v>2</v>
      </c>
      <c r="L53" s="9" t="str">
        <f t="shared" si="2"/>
        <v>1000</v>
      </c>
      <c r="M53" s="15" t="str">
        <f t="shared" si="11"/>
        <v/>
      </c>
      <c r="N53" t="str">
        <f t="shared" si="7"/>
        <v/>
      </c>
    </row>
    <row r="54" spans="4:14" x14ac:dyDescent="0.25">
      <c r="D54">
        <v>5</v>
      </c>
      <c r="E54" t="str">
        <f t="shared" si="8"/>
        <v>101</v>
      </c>
      <c r="G54" s="14" t="str">
        <f t="shared" si="9"/>
        <v>101</v>
      </c>
      <c r="H54" s="9" t="str">
        <f>IF(OR(G54=G53,BITWISE_XOR(G53,G54)=VALUE("111")),"",LEFT(G54,2))</f>
        <v/>
      </c>
      <c r="I54" s="9" t="str">
        <f>IF(OR(G54=G53,BITWISE_XOR(G53,G54)=VALUE("111")),"",RIGHT(G54,1))</f>
        <v/>
      </c>
      <c r="J54" s="9" t="b">
        <f>BITWISE_XOR(BIN2DEC(G53),7)=BIN2DEC(G54)</f>
        <v>0</v>
      </c>
      <c r="K54" s="9">
        <f t="shared" si="10"/>
        <v>2</v>
      </c>
      <c r="L54" s="9" t="str">
        <f t="shared" si="2"/>
        <v>1000</v>
      </c>
      <c r="M54" s="15" t="str">
        <f t="shared" si="11"/>
        <v/>
      </c>
      <c r="N54" t="str">
        <f t="shared" si="7"/>
        <v/>
      </c>
    </row>
    <row r="55" spans="4:14" x14ac:dyDescent="0.25">
      <c r="D55">
        <v>5</v>
      </c>
      <c r="E55" t="str">
        <f t="shared" si="8"/>
        <v>101</v>
      </c>
      <c r="G55" s="14" t="str">
        <f t="shared" si="9"/>
        <v>101</v>
      </c>
      <c r="H55" s="9" t="str">
        <f>IF(OR(G55=G54,BITWISE_XOR(G54,G55)=VALUE("111")),"",LEFT(G55,2))</f>
        <v/>
      </c>
      <c r="I55" s="9" t="str">
        <f>IF(OR(G55=G54,BITWISE_XOR(G54,G55)=VALUE("111")),"",RIGHT(G55,1))</f>
        <v/>
      </c>
      <c r="J55" s="9" t="b">
        <f>BITWISE_XOR(BIN2DEC(G54),7)=BIN2DEC(G55)</f>
        <v>0</v>
      </c>
      <c r="K55" s="9">
        <f t="shared" si="10"/>
        <v>2</v>
      </c>
      <c r="L55" s="9" t="str">
        <f t="shared" si="2"/>
        <v>1000</v>
      </c>
      <c r="M55" s="15" t="str">
        <f t="shared" si="11"/>
        <v/>
      </c>
      <c r="N55" t="str">
        <f t="shared" si="7"/>
        <v/>
      </c>
    </row>
    <row r="56" spans="4:14" x14ac:dyDescent="0.25">
      <c r="D56">
        <v>1</v>
      </c>
      <c r="E56" t="str">
        <f t="shared" si="8"/>
        <v>001</v>
      </c>
      <c r="G56" s="14" t="str">
        <f t="shared" si="9"/>
        <v>001</v>
      </c>
      <c r="H56" s="9" t="str">
        <f>IF(OR(G56=G55,BITWISE_XOR(G55,G56)=VALUE("111")),"",LEFT(G56,2))</f>
        <v>00</v>
      </c>
      <c r="I56" s="9" t="str">
        <f>IF(OR(G56=G55,BITWISE_XOR(G55,G56)=VALUE("111")),"",RIGHT(G56,1))</f>
        <v>1</v>
      </c>
      <c r="J56" s="9" t="b">
        <f>BITWISE_XOR(BIN2DEC(G55),7)=BIN2DEC(G56)</f>
        <v>0</v>
      </c>
      <c r="K56" s="9">
        <f t="shared" si="10"/>
        <v>3</v>
      </c>
      <c r="L56" s="9" t="str">
        <f t="shared" si="2"/>
        <v>001000</v>
      </c>
      <c r="M56" s="15" t="str">
        <f t="shared" si="11"/>
        <v/>
      </c>
      <c r="N56" t="str">
        <f t="shared" si="7"/>
        <v/>
      </c>
    </row>
    <row r="57" spans="4:14" x14ac:dyDescent="0.25">
      <c r="D57">
        <v>1</v>
      </c>
      <c r="E57" t="str">
        <f t="shared" si="8"/>
        <v>001</v>
      </c>
      <c r="G57" s="14" t="str">
        <f t="shared" si="9"/>
        <v>001</v>
      </c>
      <c r="H57" s="9" t="str">
        <f>IF(OR(G57=G56,BITWISE_XOR(G56,G57)=VALUE("111")),"",LEFT(G57,2))</f>
        <v/>
      </c>
      <c r="I57" s="9" t="str">
        <f>IF(OR(G57=G56,BITWISE_XOR(G56,G57)=VALUE("111")),"",RIGHT(G57,1))</f>
        <v/>
      </c>
      <c r="J57" s="9" t="b">
        <f>BITWISE_XOR(BIN2DEC(G56),7)=BIN2DEC(G57)</f>
        <v>0</v>
      </c>
      <c r="K57" s="9">
        <f t="shared" si="10"/>
        <v>3</v>
      </c>
      <c r="L57" s="9" t="str">
        <f t="shared" si="2"/>
        <v>001000</v>
      </c>
      <c r="M57" s="15" t="str">
        <f t="shared" si="11"/>
        <v/>
      </c>
      <c r="N57" t="str">
        <f t="shared" si="7"/>
        <v/>
      </c>
    </row>
    <row r="58" spans="4:14" x14ac:dyDescent="0.25">
      <c r="D58">
        <v>1</v>
      </c>
      <c r="E58" t="str">
        <f t="shared" si="8"/>
        <v>001</v>
      </c>
      <c r="G58" s="14" t="str">
        <f t="shared" si="9"/>
        <v>001</v>
      </c>
      <c r="H58" s="9" t="str">
        <f>IF(OR(G58=G57,BITWISE_XOR(G57,G58)=VALUE("111")),"",LEFT(G58,2))</f>
        <v/>
      </c>
      <c r="I58" s="9" t="str">
        <f>IF(OR(G58=G57,BITWISE_XOR(G57,G58)=VALUE("111")),"",RIGHT(G58,1))</f>
        <v/>
      </c>
      <c r="J58" s="9" t="b">
        <f>BITWISE_XOR(BIN2DEC(G57),7)=BIN2DEC(G58)</f>
        <v>0</v>
      </c>
      <c r="K58" s="9">
        <f t="shared" si="10"/>
        <v>3</v>
      </c>
      <c r="L58" s="9" t="str">
        <f t="shared" si="2"/>
        <v>001000</v>
      </c>
      <c r="M58" s="15" t="str">
        <f t="shared" si="11"/>
        <v/>
      </c>
      <c r="N58" t="str">
        <f t="shared" si="7"/>
        <v/>
      </c>
    </row>
    <row r="59" spans="4:14" x14ac:dyDescent="0.25">
      <c r="D59">
        <v>1</v>
      </c>
      <c r="E59" t="str">
        <f t="shared" si="8"/>
        <v>001</v>
      </c>
      <c r="G59" s="14" t="str">
        <f t="shared" si="9"/>
        <v>001</v>
      </c>
      <c r="H59" s="9" t="str">
        <f>IF(OR(G59=G58,BITWISE_XOR(G58,G59)=VALUE("111")),"",LEFT(G59,2))</f>
        <v/>
      </c>
      <c r="I59" s="9" t="str">
        <f>IF(OR(G59=G58,BITWISE_XOR(G58,G59)=VALUE("111")),"",RIGHT(G59,1))</f>
        <v/>
      </c>
      <c r="J59" s="9" t="b">
        <f>BITWISE_XOR(BIN2DEC(G58),7)=BIN2DEC(G59)</f>
        <v>0</v>
      </c>
      <c r="K59" s="9">
        <f t="shared" si="10"/>
        <v>3</v>
      </c>
      <c r="L59" s="9" t="str">
        <f t="shared" si="2"/>
        <v>001000</v>
      </c>
      <c r="M59" s="15" t="str">
        <f t="shared" si="11"/>
        <v/>
      </c>
      <c r="N59" t="str">
        <f t="shared" si="7"/>
        <v/>
      </c>
    </row>
    <row r="60" spans="4:14" x14ac:dyDescent="0.25">
      <c r="D60">
        <v>1</v>
      </c>
      <c r="E60" t="str">
        <f t="shared" si="8"/>
        <v>001</v>
      </c>
      <c r="G60" s="14" t="str">
        <f t="shared" si="9"/>
        <v>001</v>
      </c>
      <c r="H60" s="9" t="str">
        <f>IF(OR(G60=G59,BITWISE_XOR(G59,G60)=VALUE("111")),"",LEFT(G60,2))</f>
        <v/>
      </c>
      <c r="I60" s="9" t="str">
        <f>IF(OR(G60=G59,BITWISE_XOR(G59,G60)=VALUE("111")),"",RIGHT(G60,1))</f>
        <v/>
      </c>
      <c r="J60" s="9" t="b">
        <f>BITWISE_XOR(BIN2DEC(G59),7)=BIN2DEC(G60)</f>
        <v>0</v>
      </c>
      <c r="K60" s="9">
        <f t="shared" si="10"/>
        <v>3</v>
      </c>
      <c r="L60" s="9" t="str">
        <f t="shared" si="2"/>
        <v>001000</v>
      </c>
      <c r="M60" s="15" t="str">
        <f t="shared" si="11"/>
        <v/>
      </c>
      <c r="N60" t="str">
        <f t="shared" si="7"/>
        <v/>
      </c>
    </row>
    <row r="61" spans="4:14" x14ac:dyDescent="0.25">
      <c r="D61">
        <v>1</v>
      </c>
      <c r="E61" t="str">
        <f t="shared" si="8"/>
        <v>001</v>
      </c>
      <c r="G61" s="14" t="str">
        <f t="shared" si="9"/>
        <v>001</v>
      </c>
      <c r="H61" s="9" t="str">
        <f>IF(OR(G61=G60,BITWISE_XOR(G60,G61)=VALUE("111")),"",LEFT(G61,2))</f>
        <v/>
      </c>
      <c r="I61" s="9" t="str">
        <f>IF(OR(G61=G60,BITWISE_XOR(G60,G61)=VALUE("111")),"",RIGHT(G61,1))</f>
        <v/>
      </c>
      <c r="J61" s="9" t="b">
        <f>BITWISE_XOR(BIN2DEC(G60),7)=BIN2DEC(G61)</f>
        <v>0</v>
      </c>
      <c r="K61" s="9">
        <f t="shared" si="10"/>
        <v>3</v>
      </c>
      <c r="L61" s="9" t="str">
        <f t="shared" si="2"/>
        <v>001000</v>
      </c>
      <c r="M61" s="15" t="str">
        <f t="shared" si="11"/>
        <v/>
      </c>
      <c r="N61" t="str">
        <f t="shared" si="7"/>
        <v/>
      </c>
    </row>
    <row r="62" spans="4:14" x14ac:dyDescent="0.25">
      <c r="D62">
        <v>1</v>
      </c>
      <c r="E62" t="str">
        <f t="shared" si="8"/>
        <v>001</v>
      </c>
      <c r="G62" s="14" t="str">
        <f t="shared" si="9"/>
        <v>001</v>
      </c>
      <c r="H62" s="9" t="str">
        <f>IF(OR(G62=G61,BITWISE_XOR(G61,G62)=VALUE("111")),"",LEFT(G62,2))</f>
        <v/>
      </c>
      <c r="I62" s="9" t="str">
        <f>IF(OR(G62=G61,BITWISE_XOR(G61,G62)=VALUE("111")),"",RIGHT(G62,1))</f>
        <v/>
      </c>
      <c r="J62" s="9" t="b">
        <f>BITWISE_XOR(BIN2DEC(G61),7)=BIN2DEC(G62)</f>
        <v>0</v>
      </c>
      <c r="K62" s="9">
        <f t="shared" si="10"/>
        <v>3</v>
      </c>
      <c r="L62" s="9" t="str">
        <f t="shared" si="2"/>
        <v>001000</v>
      </c>
      <c r="M62" s="15" t="str">
        <f t="shared" si="11"/>
        <v/>
      </c>
      <c r="N62" t="str">
        <f t="shared" si="7"/>
        <v/>
      </c>
    </row>
    <row r="63" spans="4:14" x14ac:dyDescent="0.25">
      <c r="D63">
        <v>3</v>
      </c>
      <c r="E63" t="str">
        <f t="shared" si="8"/>
        <v>011</v>
      </c>
      <c r="G63" s="14" t="str">
        <f t="shared" si="9"/>
        <v>011</v>
      </c>
      <c r="H63" s="9" t="str">
        <f>IF(OR(G63=G62,BITWISE_XOR(G62,G63)=VALUE("111")),"",LEFT(G63,2))</f>
        <v>01</v>
      </c>
      <c r="I63" s="9" t="str">
        <f>IF(OR(G63=G62,BITWISE_XOR(G62,G63)=VALUE("111")),"",RIGHT(G63,1))</f>
        <v>1</v>
      </c>
      <c r="J63" s="9" t="b">
        <f>BITWISE_XOR(BIN2DEC(G62),7)=BIN2DEC(G63)</f>
        <v>0</v>
      </c>
      <c r="K63" s="9">
        <f t="shared" si="10"/>
        <v>0</v>
      </c>
      <c r="L63" s="9" t="str">
        <f>IF(K63=K62,IF(K62=0,H63,L62),IF(K63=1,H63,CONCATENATE(H63,L62)))</f>
        <v>01001000</v>
      </c>
      <c r="M63" s="15">
        <f t="shared" si="11"/>
        <v>72</v>
      </c>
      <c r="N63" t="str">
        <f t="shared" si="7"/>
        <v>H</v>
      </c>
    </row>
    <row r="64" spans="4:14" x14ac:dyDescent="0.25">
      <c r="D64">
        <v>3</v>
      </c>
      <c r="E64" t="str">
        <f t="shared" si="8"/>
        <v>011</v>
      </c>
      <c r="G64" s="14" t="str">
        <f t="shared" si="9"/>
        <v>011</v>
      </c>
      <c r="H64" s="9" t="str">
        <f>IF(OR(G64=G63,BITWISE_XOR(G63,G64)=VALUE("111")),"",LEFT(G64,2))</f>
        <v/>
      </c>
      <c r="I64" s="9" t="str">
        <f>IF(OR(G64=G63,BITWISE_XOR(G63,G64)=VALUE("111")),"",RIGHT(G64,1))</f>
        <v/>
      </c>
      <c r="J64" s="9" t="b">
        <f>BITWISE_XOR(BIN2DEC(G63),7)=BIN2DEC(G64)</f>
        <v>0</v>
      </c>
      <c r="K64" s="9">
        <f t="shared" si="10"/>
        <v>0</v>
      </c>
      <c r="L64" s="9" t="str">
        <f t="shared" ref="L64:L127" si="12">IF(K64=K63,IF(K63=0,H64,L63),IF(K64=1,H64,CONCATENATE(H64,L63)))</f>
        <v/>
      </c>
      <c r="M64" s="15" t="str">
        <f t="shared" si="11"/>
        <v/>
      </c>
      <c r="N64" t="str">
        <f t="shared" si="7"/>
        <v/>
      </c>
    </row>
    <row r="65" spans="4:14" x14ac:dyDescent="0.25">
      <c r="D65">
        <v>3</v>
      </c>
      <c r="E65" t="str">
        <f t="shared" si="8"/>
        <v>011</v>
      </c>
      <c r="G65" s="14" t="str">
        <f t="shared" si="9"/>
        <v>011</v>
      </c>
      <c r="H65" s="9" t="str">
        <f>IF(OR(G65=G64,BITWISE_XOR(G64,G65)=VALUE("111")),"",LEFT(G65,2))</f>
        <v/>
      </c>
      <c r="I65" s="9" t="str">
        <f>IF(OR(G65=G64,BITWISE_XOR(G64,G65)=VALUE("111")),"",RIGHT(G65,1))</f>
        <v/>
      </c>
      <c r="J65" s="9" t="b">
        <f>BITWISE_XOR(BIN2DEC(G64),7)=BIN2DEC(G65)</f>
        <v>0</v>
      </c>
      <c r="K65" s="9">
        <f t="shared" si="10"/>
        <v>0</v>
      </c>
      <c r="L65" s="9" t="str">
        <f t="shared" si="12"/>
        <v/>
      </c>
      <c r="M65" s="15" t="str">
        <f t="shared" si="11"/>
        <v/>
      </c>
      <c r="N65" t="str">
        <f t="shared" si="7"/>
        <v/>
      </c>
    </row>
    <row r="66" spans="4:14" x14ac:dyDescent="0.25">
      <c r="D66">
        <v>3</v>
      </c>
      <c r="E66" t="str">
        <f t="shared" si="8"/>
        <v>011</v>
      </c>
      <c r="G66" s="14" t="str">
        <f t="shared" si="9"/>
        <v>011</v>
      </c>
      <c r="H66" s="9" t="str">
        <f>IF(OR(G66=G65,BITWISE_XOR(G65,G66)=VALUE("111")),"",LEFT(G66,2))</f>
        <v/>
      </c>
      <c r="I66" s="9" t="str">
        <f>IF(OR(G66=G65,BITWISE_XOR(G65,G66)=VALUE("111")),"",RIGHT(G66,1))</f>
        <v/>
      </c>
      <c r="J66" s="9" t="b">
        <f>BITWISE_XOR(BIN2DEC(G65),7)=BIN2DEC(G66)</f>
        <v>0</v>
      </c>
      <c r="K66" s="9">
        <f t="shared" si="10"/>
        <v>0</v>
      </c>
      <c r="L66" s="9" t="str">
        <f t="shared" si="12"/>
        <v/>
      </c>
      <c r="M66" s="15" t="str">
        <f t="shared" si="11"/>
        <v/>
      </c>
      <c r="N66" t="str">
        <f t="shared" si="7"/>
        <v/>
      </c>
    </row>
    <row r="67" spans="4:14" x14ac:dyDescent="0.25">
      <c r="D67">
        <v>3</v>
      </c>
      <c r="E67" t="str">
        <f t="shared" si="8"/>
        <v>011</v>
      </c>
      <c r="G67" s="14" t="str">
        <f t="shared" si="9"/>
        <v>011</v>
      </c>
      <c r="H67" s="9" t="str">
        <f>IF(OR(G67=G66,BITWISE_XOR(G66,G67)=VALUE("111")),"",LEFT(G67,2))</f>
        <v/>
      </c>
      <c r="I67" s="9" t="str">
        <f>IF(OR(G67=G66,BITWISE_XOR(G66,G67)=VALUE("111")),"",RIGHT(G67,1))</f>
        <v/>
      </c>
      <c r="J67" s="9" t="b">
        <f>BITWISE_XOR(BIN2DEC(G66),7)=BIN2DEC(G67)</f>
        <v>0</v>
      </c>
      <c r="K67" s="9">
        <f t="shared" si="10"/>
        <v>0</v>
      </c>
      <c r="L67" s="9" t="str">
        <f t="shared" si="12"/>
        <v/>
      </c>
      <c r="M67" s="15" t="str">
        <f t="shared" si="11"/>
        <v/>
      </c>
      <c r="N67" t="str">
        <f t="shared" si="7"/>
        <v/>
      </c>
    </row>
    <row r="68" spans="4:14" x14ac:dyDescent="0.25">
      <c r="D68">
        <v>3</v>
      </c>
      <c r="E68" t="str">
        <f t="shared" si="8"/>
        <v>011</v>
      </c>
      <c r="G68" s="14" t="str">
        <f t="shared" si="9"/>
        <v>011</v>
      </c>
      <c r="H68" s="9" t="str">
        <f>IF(OR(G68=G67,BITWISE_XOR(G67,G68)=VALUE("111")),"",LEFT(G68,2))</f>
        <v/>
      </c>
      <c r="I68" s="9" t="str">
        <f>IF(OR(G68=G67,BITWISE_XOR(G67,G68)=VALUE("111")),"",RIGHT(G68,1))</f>
        <v/>
      </c>
      <c r="J68" s="9" t="b">
        <f>BITWISE_XOR(BIN2DEC(G67),7)=BIN2DEC(G68)</f>
        <v>0</v>
      </c>
      <c r="K68" s="9">
        <f t="shared" si="10"/>
        <v>0</v>
      </c>
      <c r="L68" s="9" t="str">
        <f t="shared" si="12"/>
        <v/>
      </c>
      <c r="M68" s="15" t="str">
        <f t="shared" si="11"/>
        <v/>
      </c>
      <c r="N68" t="str">
        <f t="shared" si="7"/>
        <v/>
      </c>
    </row>
    <row r="69" spans="4:14" x14ac:dyDescent="0.25">
      <c r="D69">
        <v>3</v>
      </c>
      <c r="E69" t="str">
        <f t="shared" si="8"/>
        <v>011</v>
      </c>
      <c r="G69" s="14" t="str">
        <f t="shared" si="9"/>
        <v>011</v>
      </c>
      <c r="H69" s="9" t="str">
        <f>IF(OR(G69=G68,BITWISE_XOR(G68,G69)=VALUE("111")),"",LEFT(G69,2))</f>
        <v/>
      </c>
      <c r="I69" s="9" t="str">
        <f>IF(OR(G69=G68,BITWISE_XOR(G68,G69)=VALUE("111")),"",RIGHT(G69,1))</f>
        <v/>
      </c>
      <c r="J69" s="9" t="b">
        <f>BITWISE_XOR(BIN2DEC(G68),7)=BIN2DEC(G69)</f>
        <v>0</v>
      </c>
      <c r="K69" s="9">
        <f t="shared" si="10"/>
        <v>0</v>
      </c>
      <c r="L69" s="9" t="str">
        <f t="shared" si="12"/>
        <v/>
      </c>
      <c r="M69" s="15" t="str">
        <f t="shared" si="11"/>
        <v/>
      </c>
      <c r="N69" t="str">
        <f t="shared" si="7"/>
        <v/>
      </c>
    </row>
    <row r="70" spans="4:14" x14ac:dyDescent="0.25">
      <c r="D70">
        <v>2</v>
      </c>
      <c r="E70" t="str">
        <f t="shared" si="8"/>
        <v>010</v>
      </c>
      <c r="G70" s="14" t="str">
        <f t="shared" si="9"/>
        <v>010</v>
      </c>
      <c r="H70" s="9" t="str">
        <f>IF(OR(G70=G69,BITWISE_XOR(G69,G70)=VALUE("111")),"",LEFT(G70,2))</f>
        <v>01</v>
      </c>
      <c r="I70" s="9" t="str">
        <f>IF(OR(G70=G69,BITWISE_XOR(G69,G70)=VALUE("111")),"",RIGHT(G70,1))</f>
        <v>0</v>
      </c>
      <c r="J70" s="9" t="b">
        <f>BITWISE_XOR(BIN2DEC(G69),7)=BIN2DEC(G70)</f>
        <v>0</v>
      </c>
      <c r="K70" s="9">
        <f t="shared" si="10"/>
        <v>1</v>
      </c>
      <c r="L70" s="9" t="str">
        <f t="shared" si="12"/>
        <v>01</v>
      </c>
      <c r="M70" s="15" t="str">
        <f t="shared" si="11"/>
        <v/>
      </c>
      <c r="N70" t="str">
        <f t="shared" si="7"/>
        <v/>
      </c>
    </row>
    <row r="71" spans="4:14" x14ac:dyDescent="0.25">
      <c r="D71">
        <v>2</v>
      </c>
      <c r="E71" t="str">
        <f t="shared" si="8"/>
        <v>010</v>
      </c>
      <c r="G71" s="14" t="str">
        <f t="shared" si="9"/>
        <v>010</v>
      </c>
      <c r="H71" s="9" t="str">
        <f>IF(OR(G71=G70,BITWISE_XOR(G70,G71)=VALUE("111")),"",LEFT(G71,2))</f>
        <v/>
      </c>
      <c r="I71" s="9" t="str">
        <f>IF(OR(G71=G70,BITWISE_XOR(G70,G71)=VALUE("111")),"",RIGHT(G71,1))</f>
        <v/>
      </c>
      <c r="J71" s="9" t="b">
        <f>BITWISE_XOR(BIN2DEC(G70),7)=BIN2DEC(G71)</f>
        <v>0</v>
      </c>
      <c r="K71" s="9">
        <f t="shared" si="10"/>
        <v>1</v>
      </c>
      <c r="L71" s="9" t="str">
        <f t="shared" si="12"/>
        <v>01</v>
      </c>
      <c r="M71" s="15" t="str">
        <f t="shared" si="11"/>
        <v/>
      </c>
      <c r="N71" t="str">
        <f t="shared" si="7"/>
        <v/>
      </c>
    </row>
    <row r="72" spans="4:14" x14ac:dyDescent="0.25">
      <c r="D72">
        <v>2</v>
      </c>
      <c r="E72" t="str">
        <f t="shared" si="8"/>
        <v>010</v>
      </c>
      <c r="G72" s="14" t="str">
        <f t="shared" si="9"/>
        <v>010</v>
      </c>
      <c r="H72" s="9" t="str">
        <f>IF(OR(G72=G71,BITWISE_XOR(G71,G72)=VALUE("111")),"",LEFT(G72,2))</f>
        <v/>
      </c>
      <c r="I72" s="9" t="str">
        <f>IF(OR(G72=G71,BITWISE_XOR(G71,G72)=VALUE("111")),"",RIGHT(G72,1))</f>
        <v/>
      </c>
      <c r="J72" s="9" t="b">
        <f>BITWISE_XOR(BIN2DEC(G71),7)=BIN2DEC(G72)</f>
        <v>0</v>
      </c>
      <c r="K72" s="9">
        <f t="shared" si="10"/>
        <v>1</v>
      </c>
      <c r="L72" s="9" t="str">
        <f t="shared" si="12"/>
        <v>01</v>
      </c>
      <c r="M72" s="15" t="str">
        <f t="shared" si="11"/>
        <v/>
      </c>
      <c r="N72" t="str">
        <f t="shared" si="7"/>
        <v/>
      </c>
    </row>
    <row r="73" spans="4:14" x14ac:dyDescent="0.25">
      <c r="D73">
        <v>2</v>
      </c>
      <c r="E73" t="str">
        <f t="shared" si="8"/>
        <v>010</v>
      </c>
      <c r="G73" s="14" t="str">
        <f t="shared" ref="G73:G98" si="13">E73</f>
        <v>010</v>
      </c>
      <c r="H73" s="9" t="str">
        <f>IF(OR(G73=G72,BITWISE_XOR(G72,G73)=VALUE("111")),"",LEFT(G73,2))</f>
        <v/>
      </c>
      <c r="I73" s="9" t="str">
        <f>IF(OR(G73=G72,BITWISE_XOR(G72,G73)=VALUE("111")),"",RIGHT(G73,1))</f>
        <v/>
      </c>
      <c r="J73" s="9" t="b">
        <f>BITWISE_XOR(BIN2DEC(G72),7)=BIN2DEC(G73)</f>
        <v>0</v>
      </c>
      <c r="K73" s="9">
        <f t="shared" ref="K73:K98" si="14">IF(J73=TRUE,0,(IF((H73=""),K72,MOD((K72+1),4))))</f>
        <v>1</v>
      </c>
      <c r="L73" s="9" t="str">
        <f t="shared" si="12"/>
        <v>01</v>
      </c>
      <c r="M73" s="15" t="str">
        <f t="shared" ref="M73:M98" si="15">IF(AND(K73=0,K72=3),BIN2DEC(L73),"")</f>
        <v/>
      </c>
      <c r="N73" t="str">
        <f t="shared" si="7"/>
        <v/>
      </c>
    </row>
    <row r="74" spans="4:14" x14ac:dyDescent="0.25">
      <c r="D74">
        <v>2</v>
      </c>
      <c r="E74" t="str">
        <f t="shared" si="8"/>
        <v>010</v>
      </c>
      <c r="G74" s="14" t="str">
        <f t="shared" si="13"/>
        <v>010</v>
      </c>
      <c r="H74" s="9" t="str">
        <f>IF(OR(G74=G73,BITWISE_XOR(G73,G74)=VALUE("111")),"",LEFT(G74,2))</f>
        <v/>
      </c>
      <c r="I74" s="9" t="str">
        <f>IF(OR(G74=G73,BITWISE_XOR(G73,G74)=VALUE("111")),"",RIGHT(G74,1))</f>
        <v/>
      </c>
      <c r="J74" s="9" t="b">
        <f>BITWISE_XOR(BIN2DEC(G73),7)=BIN2DEC(G74)</f>
        <v>0</v>
      </c>
      <c r="K74" s="9">
        <f t="shared" si="14"/>
        <v>1</v>
      </c>
      <c r="L74" s="9" t="str">
        <f t="shared" si="12"/>
        <v>01</v>
      </c>
      <c r="M74" s="15" t="str">
        <f t="shared" si="15"/>
        <v/>
      </c>
      <c r="N74" t="str">
        <f t="shared" si="7"/>
        <v/>
      </c>
    </row>
    <row r="75" spans="4:14" x14ac:dyDescent="0.25">
      <c r="D75">
        <v>2</v>
      </c>
      <c r="E75" t="str">
        <f t="shared" si="8"/>
        <v>010</v>
      </c>
      <c r="G75" s="14" t="str">
        <f t="shared" si="13"/>
        <v>010</v>
      </c>
      <c r="H75" s="9" t="str">
        <f>IF(OR(G75=G74,BITWISE_XOR(G74,G75)=VALUE("111")),"",LEFT(G75,2))</f>
        <v/>
      </c>
      <c r="I75" s="9" t="str">
        <f>IF(OR(G75=G74,BITWISE_XOR(G74,G75)=VALUE("111")),"",RIGHT(G75,1))</f>
        <v/>
      </c>
      <c r="J75" s="9" t="b">
        <f>BITWISE_XOR(BIN2DEC(G74),7)=BIN2DEC(G75)</f>
        <v>0</v>
      </c>
      <c r="K75" s="9">
        <f t="shared" si="14"/>
        <v>1</v>
      </c>
      <c r="L75" s="9" t="str">
        <f t="shared" si="12"/>
        <v>01</v>
      </c>
      <c r="M75" s="15" t="str">
        <f t="shared" si="15"/>
        <v/>
      </c>
      <c r="N75" t="str">
        <f t="shared" si="7"/>
        <v/>
      </c>
    </row>
    <row r="76" spans="4:14" x14ac:dyDescent="0.25">
      <c r="D76">
        <v>2</v>
      </c>
      <c r="E76" t="str">
        <f t="shared" si="8"/>
        <v>010</v>
      </c>
      <c r="G76" s="14" t="str">
        <f t="shared" si="13"/>
        <v>010</v>
      </c>
      <c r="H76" s="9" t="str">
        <f>IF(OR(G76=G75,BITWISE_XOR(G75,G76)=VALUE("111")),"",LEFT(G76,2))</f>
        <v/>
      </c>
      <c r="I76" s="9" t="str">
        <f>IF(OR(G76=G75,BITWISE_XOR(G75,G76)=VALUE("111")),"",RIGHT(G76,1))</f>
        <v/>
      </c>
      <c r="J76" s="9" t="b">
        <f>BITWISE_XOR(BIN2DEC(G75),7)=BIN2DEC(G76)</f>
        <v>0</v>
      </c>
      <c r="K76" s="9">
        <f t="shared" si="14"/>
        <v>1</v>
      </c>
      <c r="L76" s="9" t="str">
        <f t="shared" si="12"/>
        <v>01</v>
      </c>
      <c r="M76" s="15" t="str">
        <f t="shared" si="15"/>
        <v/>
      </c>
      <c r="N76" t="str">
        <f t="shared" si="7"/>
        <v/>
      </c>
    </row>
    <row r="77" spans="4:14" x14ac:dyDescent="0.25">
      <c r="D77">
        <v>3</v>
      </c>
      <c r="E77" t="str">
        <f t="shared" si="8"/>
        <v>011</v>
      </c>
      <c r="G77" s="14" t="str">
        <f t="shared" si="13"/>
        <v>011</v>
      </c>
      <c r="H77" s="9" t="str">
        <f>IF(OR(G77=G76,BITWISE_XOR(G76,G77)=VALUE("111")),"",LEFT(G77,2))</f>
        <v>01</v>
      </c>
      <c r="I77" s="9" t="str">
        <f>IF(OR(G77=G76,BITWISE_XOR(G76,G77)=VALUE("111")),"",RIGHT(G77,1))</f>
        <v>1</v>
      </c>
      <c r="J77" s="9" t="b">
        <f>BITWISE_XOR(BIN2DEC(G76),7)=BIN2DEC(G77)</f>
        <v>0</v>
      </c>
      <c r="K77" s="9">
        <f t="shared" si="14"/>
        <v>2</v>
      </c>
      <c r="L77" s="9" t="str">
        <f t="shared" si="12"/>
        <v>0101</v>
      </c>
      <c r="M77" s="15" t="str">
        <f t="shared" si="15"/>
        <v/>
      </c>
      <c r="N77" t="str">
        <f t="shared" si="7"/>
        <v/>
      </c>
    </row>
    <row r="78" spans="4:14" x14ac:dyDescent="0.25">
      <c r="D78">
        <v>3</v>
      </c>
      <c r="E78" t="str">
        <f t="shared" si="8"/>
        <v>011</v>
      </c>
      <c r="G78" s="14" t="str">
        <f t="shared" si="13"/>
        <v>011</v>
      </c>
      <c r="H78" s="9" t="str">
        <f>IF(OR(G78=G77,BITWISE_XOR(G77,G78)=VALUE("111")),"",LEFT(G78,2))</f>
        <v/>
      </c>
      <c r="I78" s="9" t="str">
        <f>IF(OR(G78=G77,BITWISE_XOR(G77,G78)=VALUE("111")),"",RIGHT(G78,1))</f>
        <v/>
      </c>
      <c r="J78" s="9" t="b">
        <f>BITWISE_XOR(BIN2DEC(G77),7)=BIN2DEC(G78)</f>
        <v>0</v>
      </c>
      <c r="K78" s="9">
        <f t="shared" si="14"/>
        <v>2</v>
      </c>
      <c r="L78" s="9" t="str">
        <f t="shared" si="12"/>
        <v>0101</v>
      </c>
      <c r="M78" s="15" t="str">
        <f t="shared" si="15"/>
        <v/>
      </c>
      <c r="N78" t="str">
        <f t="shared" si="7"/>
        <v/>
      </c>
    </row>
    <row r="79" spans="4:14" x14ac:dyDescent="0.25">
      <c r="D79">
        <v>3</v>
      </c>
      <c r="E79" t="str">
        <f t="shared" si="8"/>
        <v>011</v>
      </c>
      <c r="G79" s="14" t="str">
        <f t="shared" si="13"/>
        <v>011</v>
      </c>
      <c r="H79" s="9" t="str">
        <f>IF(OR(G79=G78,BITWISE_XOR(G78,G79)=VALUE("111")),"",LEFT(G79,2))</f>
        <v/>
      </c>
      <c r="I79" s="9" t="str">
        <f>IF(OR(G79=G78,BITWISE_XOR(G78,G79)=VALUE("111")),"",RIGHT(G79,1))</f>
        <v/>
      </c>
      <c r="J79" s="9" t="b">
        <f>BITWISE_XOR(BIN2DEC(G78),7)=BIN2DEC(G79)</f>
        <v>0</v>
      </c>
      <c r="K79" s="9">
        <f t="shared" si="14"/>
        <v>2</v>
      </c>
      <c r="L79" s="9" t="str">
        <f t="shared" si="12"/>
        <v>0101</v>
      </c>
      <c r="M79" s="15" t="str">
        <f t="shared" si="15"/>
        <v/>
      </c>
      <c r="N79" t="str">
        <f t="shared" si="7"/>
        <v/>
      </c>
    </row>
    <row r="80" spans="4:14" x14ac:dyDescent="0.25">
      <c r="D80">
        <v>3</v>
      </c>
      <c r="E80" t="str">
        <f t="shared" si="8"/>
        <v>011</v>
      </c>
      <c r="G80" s="14" t="str">
        <f t="shared" si="13"/>
        <v>011</v>
      </c>
      <c r="H80" s="9" t="str">
        <f>IF(OR(G80=G79,BITWISE_XOR(G79,G80)=VALUE("111")),"",LEFT(G80,2))</f>
        <v/>
      </c>
      <c r="I80" s="9" t="str">
        <f>IF(OR(G80=G79,BITWISE_XOR(G79,G80)=VALUE("111")),"",RIGHT(G80,1))</f>
        <v/>
      </c>
      <c r="J80" s="9" t="b">
        <f>BITWISE_XOR(BIN2DEC(G79),7)=BIN2DEC(G80)</f>
        <v>0</v>
      </c>
      <c r="K80" s="9">
        <f t="shared" si="14"/>
        <v>2</v>
      </c>
      <c r="L80" s="9" t="str">
        <f t="shared" si="12"/>
        <v>0101</v>
      </c>
      <c r="M80" s="15" t="str">
        <f t="shared" si="15"/>
        <v/>
      </c>
      <c r="N80" t="str">
        <f t="shared" si="7"/>
        <v/>
      </c>
    </row>
    <row r="81" spans="4:14" x14ac:dyDescent="0.25">
      <c r="D81">
        <v>3</v>
      </c>
      <c r="E81" t="str">
        <f t="shared" si="8"/>
        <v>011</v>
      </c>
      <c r="G81" s="14" t="str">
        <f t="shared" si="13"/>
        <v>011</v>
      </c>
      <c r="H81" s="9" t="str">
        <f>IF(OR(G81=G80,BITWISE_XOR(G80,G81)=VALUE("111")),"",LEFT(G81,2))</f>
        <v/>
      </c>
      <c r="I81" s="9" t="str">
        <f>IF(OR(G81=G80,BITWISE_XOR(G80,G81)=VALUE("111")),"",RIGHT(G81,1))</f>
        <v/>
      </c>
      <c r="J81" s="9" t="b">
        <f>BITWISE_XOR(BIN2DEC(G80),7)=BIN2DEC(G81)</f>
        <v>0</v>
      </c>
      <c r="K81" s="9">
        <f t="shared" si="14"/>
        <v>2</v>
      </c>
      <c r="L81" s="9" t="str">
        <f t="shared" si="12"/>
        <v>0101</v>
      </c>
      <c r="M81" s="15" t="str">
        <f t="shared" si="15"/>
        <v/>
      </c>
      <c r="N81" t="str">
        <f t="shared" si="7"/>
        <v/>
      </c>
    </row>
    <row r="82" spans="4:14" x14ac:dyDescent="0.25">
      <c r="D82">
        <v>3</v>
      </c>
      <c r="E82" t="str">
        <f t="shared" si="8"/>
        <v>011</v>
      </c>
      <c r="G82" s="14" t="str">
        <f t="shared" si="13"/>
        <v>011</v>
      </c>
      <c r="H82" s="9" t="str">
        <f>IF(OR(G82=G81,BITWISE_XOR(G81,G82)=VALUE("111")),"",LEFT(G82,2))</f>
        <v/>
      </c>
      <c r="I82" s="9" t="str">
        <f>IF(OR(G82=G81,BITWISE_XOR(G81,G82)=VALUE("111")),"",RIGHT(G82,1))</f>
        <v/>
      </c>
      <c r="J82" s="9" t="b">
        <f>BITWISE_XOR(BIN2DEC(G81),7)=BIN2DEC(G82)</f>
        <v>0</v>
      </c>
      <c r="K82" s="9">
        <f t="shared" si="14"/>
        <v>2</v>
      </c>
      <c r="L82" s="9" t="str">
        <f t="shared" si="12"/>
        <v>0101</v>
      </c>
      <c r="M82" s="15" t="str">
        <f t="shared" si="15"/>
        <v/>
      </c>
      <c r="N82" t="str">
        <f t="shared" si="7"/>
        <v/>
      </c>
    </row>
    <row r="83" spans="4:14" x14ac:dyDescent="0.25">
      <c r="D83">
        <v>3</v>
      </c>
      <c r="E83" t="str">
        <f t="shared" si="8"/>
        <v>011</v>
      </c>
      <c r="G83" s="14" t="str">
        <f t="shared" si="13"/>
        <v>011</v>
      </c>
      <c r="H83" s="9" t="str">
        <f>IF(OR(G83=G82,BITWISE_XOR(G82,G83)=VALUE("111")),"",LEFT(G83,2))</f>
        <v/>
      </c>
      <c r="I83" s="9" t="str">
        <f>IF(OR(G83=G82,BITWISE_XOR(G82,G83)=VALUE("111")),"",RIGHT(G83,1))</f>
        <v/>
      </c>
      <c r="J83" s="9" t="b">
        <f>BITWISE_XOR(BIN2DEC(G82),7)=BIN2DEC(G83)</f>
        <v>0</v>
      </c>
      <c r="K83" s="9">
        <f t="shared" si="14"/>
        <v>2</v>
      </c>
      <c r="L83" s="9" t="str">
        <f t="shared" si="12"/>
        <v>0101</v>
      </c>
      <c r="M83" s="15" t="str">
        <f t="shared" si="15"/>
        <v/>
      </c>
      <c r="N83" t="str">
        <f t="shared" si="7"/>
        <v/>
      </c>
    </row>
    <row r="84" spans="4:14" x14ac:dyDescent="0.25">
      <c r="D84">
        <v>5</v>
      </c>
      <c r="E84" t="str">
        <f t="shared" si="8"/>
        <v>101</v>
      </c>
      <c r="G84" s="14" t="str">
        <f t="shared" si="13"/>
        <v>101</v>
      </c>
      <c r="H84" s="9" t="str">
        <f>IF(OR(G84=G83,BITWISE_XOR(G83,G84)=VALUE("111")),"",LEFT(G84,2))</f>
        <v>10</v>
      </c>
      <c r="I84" s="9" t="str">
        <f>IF(OR(G84=G83,BITWISE_XOR(G83,G84)=VALUE("111")),"",RIGHT(G84,1))</f>
        <v>1</v>
      </c>
      <c r="J84" s="9" t="b">
        <f>BITWISE_XOR(BIN2DEC(G83),7)=BIN2DEC(G84)</f>
        <v>0</v>
      </c>
      <c r="K84" s="9">
        <f t="shared" si="14"/>
        <v>3</v>
      </c>
      <c r="L84" s="9" t="str">
        <f t="shared" si="12"/>
        <v>100101</v>
      </c>
      <c r="M84" s="15" t="str">
        <f t="shared" si="15"/>
        <v/>
      </c>
      <c r="N84" t="str">
        <f t="shared" si="7"/>
        <v/>
      </c>
    </row>
    <row r="85" spans="4:14" x14ac:dyDescent="0.25">
      <c r="D85">
        <v>5</v>
      </c>
      <c r="E85" t="str">
        <f t="shared" si="8"/>
        <v>101</v>
      </c>
      <c r="G85" s="14" t="str">
        <f t="shared" si="13"/>
        <v>101</v>
      </c>
      <c r="H85" s="9" t="str">
        <f>IF(OR(G85=G84,BITWISE_XOR(G84,G85)=VALUE("111")),"",LEFT(G85,2))</f>
        <v/>
      </c>
      <c r="I85" s="9" t="str">
        <f>IF(OR(G85=G84,BITWISE_XOR(G84,G85)=VALUE("111")),"",RIGHT(G85,1))</f>
        <v/>
      </c>
      <c r="J85" s="9" t="b">
        <f>BITWISE_XOR(BIN2DEC(G84),7)=BIN2DEC(G85)</f>
        <v>0</v>
      </c>
      <c r="K85" s="9">
        <f t="shared" si="14"/>
        <v>3</v>
      </c>
      <c r="L85" s="9" t="str">
        <f t="shared" si="12"/>
        <v>100101</v>
      </c>
      <c r="M85" s="15" t="str">
        <f t="shared" si="15"/>
        <v/>
      </c>
      <c r="N85" t="str">
        <f t="shared" si="7"/>
        <v/>
      </c>
    </row>
    <row r="86" spans="4:14" x14ac:dyDescent="0.25">
      <c r="D86">
        <v>5</v>
      </c>
      <c r="E86" t="str">
        <f t="shared" si="8"/>
        <v>101</v>
      </c>
      <c r="G86" s="14" t="str">
        <f t="shared" si="13"/>
        <v>101</v>
      </c>
      <c r="H86" s="9" t="str">
        <f>IF(OR(G86=G85,BITWISE_XOR(G85,G86)=VALUE("111")),"",LEFT(G86,2))</f>
        <v/>
      </c>
      <c r="I86" s="9" t="str">
        <f>IF(OR(G86=G85,BITWISE_XOR(G85,G86)=VALUE("111")),"",RIGHT(G86,1))</f>
        <v/>
      </c>
      <c r="J86" s="9" t="b">
        <f>BITWISE_XOR(BIN2DEC(G85),7)=BIN2DEC(G86)</f>
        <v>0</v>
      </c>
      <c r="K86" s="9">
        <f t="shared" si="14"/>
        <v>3</v>
      </c>
      <c r="L86" s="9" t="str">
        <f t="shared" si="12"/>
        <v>100101</v>
      </c>
      <c r="M86" s="15" t="str">
        <f t="shared" si="15"/>
        <v/>
      </c>
      <c r="N86" t="str">
        <f t="shared" si="7"/>
        <v/>
      </c>
    </row>
    <row r="87" spans="4:14" x14ac:dyDescent="0.25">
      <c r="D87">
        <v>5</v>
      </c>
      <c r="E87" t="str">
        <f t="shared" si="8"/>
        <v>101</v>
      </c>
      <c r="G87" s="14" t="str">
        <f t="shared" si="13"/>
        <v>101</v>
      </c>
      <c r="H87" s="9" t="str">
        <f>IF(OR(G87=G86,BITWISE_XOR(G86,G87)=VALUE("111")),"",LEFT(G87,2))</f>
        <v/>
      </c>
      <c r="I87" s="9" t="str">
        <f>IF(OR(G87=G86,BITWISE_XOR(G86,G87)=VALUE("111")),"",RIGHT(G87,1))</f>
        <v/>
      </c>
      <c r="J87" s="9" t="b">
        <f>BITWISE_XOR(BIN2DEC(G86),7)=BIN2DEC(G87)</f>
        <v>0</v>
      </c>
      <c r="K87" s="9">
        <f t="shared" si="14"/>
        <v>3</v>
      </c>
      <c r="L87" s="9" t="str">
        <f t="shared" si="12"/>
        <v>100101</v>
      </c>
      <c r="M87" s="15" t="str">
        <f t="shared" si="15"/>
        <v/>
      </c>
      <c r="N87" t="str">
        <f t="shared" si="7"/>
        <v/>
      </c>
    </row>
    <row r="88" spans="4:14" x14ac:dyDescent="0.25">
      <c r="D88">
        <v>5</v>
      </c>
      <c r="E88" t="str">
        <f t="shared" si="8"/>
        <v>101</v>
      </c>
      <c r="G88" s="14" t="str">
        <f t="shared" si="13"/>
        <v>101</v>
      </c>
      <c r="H88" s="9" t="str">
        <f>IF(OR(G88=G87,BITWISE_XOR(G87,G88)=VALUE("111")),"",LEFT(G88,2))</f>
        <v/>
      </c>
      <c r="I88" s="9" t="str">
        <f>IF(OR(G88=G87,BITWISE_XOR(G87,G88)=VALUE("111")),"",RIGHT(G88,1))</f>
        <v/>
      </c>
      <c r="J88" s="9" t="b">
        <f>BITWISE_XOR(BIN2DEC(G87),7)=BIN2DEC(G88)</f>
        <v>0</v>
      </c>
      <c r="K88" s="9">
        <f t="shared" si="14"/>
        <v>3</v>
      </c>
      <c r="L88" s="9" t="str">
        <f t="shared" si="12"/>
        <v>100101</v>
      </c>
      <c r="M88" s="15" t="str">
        <f t="shared" si="15"/>
        <v/>
      </c>
      <c r="N88" t="str">
        <f t="shared" si="7"/>
        <v/>
      </c>
    </row>
    <row r="89" spans="4:14" x14ac:dyDescent="0.25">
      <c r="D89">
        <v>5</v>
      </c>
      <c r="E89" t="str">
        <f t="shared" si="8"/>
        <v>101</v>
      </c>
      <c r="G89" s="14" t="str">
        <f t="shared" si="13"/>
        <v>101</v>
      </c>
      <c r="H89" s="9" t="str">
        <f>IF(OR(G89=G88,BITWISE_XOR(G88,G89)=VALUE("111")),"",LEFT(G89,2))</f>
        <v/>
      </c>
      <c r="I89" s="9" t="str">
        <f>IF(OR(G89=G88,BITWISE_XOR(G88,G89)=VALUE("111")),"",RIGHT(G89,1))</f>
        <v/>
      </c>
      <c r="J89" s="9" t="b">
        <f>BITWISE_XOR(BIN2DEC(G88),7)=BIN2DEC(G89)</f>
        <v>0</v>
      </c>
      <c r="K89" s="9">
        <f t="shared" si="14"/>
        <v>3</v>
      </c>
      <c r="L89" s="9" t="str">
        <f t="shared" si="12"/>
        <v>100101</v>
      </c>
      <c r="M89" s="15" t="str">
        <f t="shared" si="15"/>
        <v/>
      </c>
      <c r="N89" t="str">
        <f t="shared" si="7"/>
        <v/>
      </c>
    </row>
    <row r="90" spans="4:14" x14ac:dyDescent="0.25">
      <c r="D90">
        <v>5</v>
      </c>
      <c r="E90" t="str">
        <f t="shared" si="8"/>
        <v>101</v>
      </c>
      <c r="G90" s="14" t="str">
        <f t="shared" si="13"/>
        <v>101</v>
      </c>
      <c r="H90" s="9" t="str">
        <f>IF(OR(G90=G89,BITWISE_XOR(G89,G90)=VALUE("111")),"",LEFT(G90,2))</f>
        <v/>
      </c>
      <c r="I90" s="9" t="str">
        <f>IF(OR(G90=G89,BITWISE_XOR(G89,G90)=VALUE("111")),"",RIGHT(G90,1))</f>
        <v/>
      </c>
      <c r="J90" s="9" t="b">
        <f>BITWISE_XOR(BIN2DEC(G89),7)=BIN2DEC(G90)</f>
        <v>0</v>
      </c>
      <c r="K90" s="9">
        <f t="shared" si="14"/>
        <v>3</v>
      </c>
      <c r="L90" s="9" t="str">
        <f t="shared" si="12"/>
        <v>100101</v>
      </c>
      <c r="M90" s="15" t="str">
        <f t="shared" si="15"/>
        <v/>
      </c>
      <c r="N90" t="str">
        <f t="shared" si="7"/>
        <v/>
      </c>
    </row>
    <row r="91" spans="4:14" x14ac:dyDescent="0.25">
      <c r="D91">
        <v>3</v>
      </c>
      <c r="E91" t="str">
        <f t="shared" si="8"/>
        <v>011</v>
      </c>
      <c r="G91" s="14" t="str">
        <f t="shared" si="13"/>
        <v>011</v>
      </c>
      <c r="H91" s="9" t="str">
        <f>IF(OR(G91=G90,BITWISE_XOR(G90,G91)=VALUE("111")),"",LEFT(G91,2))</f>
        <v>01</v>
      </c>
      <c r="I91" s="9" t="str">
        <f>IF(OR(G91=G90,BITWISE_XOR(G90,G91)=VALUE("111")),"",RIGHT(G91,1))</f>
        <v>1</v>
      </c>
      <c r="J91" s="9" t="b">
        <f>BITWISE_XOR(BIN2DEC(G90),7)=BIN2DEC(G91)</f>
        <v>0</v>
      </c>
      <c r="K91" s="9">
        <f t="shared" si="14"/>
        <v>0</v>
      </c>
      <c r="L91" s="9" t="str">
        <f t="shared" si="12"/>
        <v>01100101</v>
      </c>
      <c r="M91" s="15">
        <f t="shared" si="15"/>
        <v>101</v>
      </c>
      <c r="N91" t="str">
        <f t="shared" si="7"/>
        <v>e</v>
      </c>
    </row>
    <row r="92" spans="4:14" x14ac:dyDescent="0.25">
      <c r="D92">
        <v>3</v>
      </c>
      <c r="E92" t="str">
        <f t="shared" si="8"/>
        <v>011</v>
      </c>
      <c r="G92" s="14" t="str">
        <f t="shared" si="13"/>
        <v>011</v>
      </c>
      <c r="H92" s="9" t="str">
        <f>IF(OR(G92=G91,BITWISE_XOR(G91,G92)=VALUE("111")),"",LEFT(G92,2))</f>
        <v/>
      </c>
      <c r="I92" s="9" t="str">
        <f>IF(OR(G92=G91,BITWISE_XOR(G91,G92)=VALUE("111")),"",RIGHT(G92,1))</f>
        <v/>
      </c>
      <c r="J92" s="9" t="b">
        <f>BITWISE_XOR(BIN2DEC(G91),7)=BIN2DEC(G92)</f>
        <v>0</v>
      </c>
      <c r="K92" s="9">
        <f t="shared" si="14"/>
        <v>0</v>
      </c>
      <c r="L92" s="9" t="str">
        <f t="shared" si="12"/>
        <v/>
      </c>
      <c r="M92" s="15" t="str">
        <f t="shared" si="15"/>
        <v/>
      </c>
      <c r="N92" t="str">
        <f t="shared" si="7"/>
        <v/>
      </c>
    </row>
    <row r="93" spans="4:14" x14ac:dyDescent="0.25">
      <c r="D93">
        <v>3</v>
      </c>
      <c r="E93" t="str">
        <f t="shared" si="8"/>
        <v>011</v>
      </c>
      <c r="G93" s="14" t="str">
        <f t="shared" si="13"/>
        <v>011</v>
      </c>
      <c r="H93" s="9" t="str">
        <f>IF(OR(G93=G92,BITWISE_XOR(G92,G93)=VALUE("111")),"",LEFT(G93,2))</f>
        <v/>
      </c>
      <c r="I93" s="9" t="str">
        <f>IF(OR(G93=G92,BITWISE_XOR(G92,G93)=VALUE("111")),"",RIGHT(G93,1))</f>
        <v/>
      </c>
      <c r="J93" s="9" t="b">
        <f>BITWISE_XOR(BIN2DEC(G92),7)=BIN2DEC(G93)</f>
        <v>0</v>
      </c>
      <c r="K93" s="9">
        <f t="shared" si="14"/>
        <v>0</v>
      </c>
      <c r="L93" s="9" t="str">
        <f t="shared" si="12"/>
        <v/>
      </c>
      <c r="M93" s="15" t="str">
        <f t="shared" si="15"/>
        <v/>
      </c>
      <c r="N93" t="str">
        <f t="shared" si="7"/>
        <v/>
      </c>
    </row>
    <row r="94" spans="4:14" x14ac:dyDescent="0.25">
      <c r="D94">
        <v>3</v>
      </c>
      <c r="E94" t="str">
        <f t="shared" si="8"/>
        <v>011</v>
      </c>
      <c r="G94" s="14" t="str">
        <f t="shared" si="13"/>
        <v>011</v>
      </c>
      <c r="H94" s="9" t="str">
        <f>IF(OR(G94=G93,BITWISE_XOR(G93,G94)=VALUE("111")),"",LEFT(G94,2))</f>
        <v/>
      </c>
      <c r="I94" s="9" t="str">
        <f>IF(OR(G94=G93,BITWISE_XOR(G93,G94)=VALUE("111")),"",RIGHT(G94,1))</f>
        <v/>
      </c>
      <c r="J94" s="9" t="b">
        <f>BITWISE_XOR(BIN2DEC(G93),7)=BIN2DEC(G94)</f>
        <v>0</v>
      </c>
      <c r="K94" s="9">
        <f t="shared" si="14"/>
        <v>0</v>
      </c>
      <c r="L94" s="9" t="str">
        <f t="shared" si="12"/>
        <v/>
      </c>
      <c r="M94" s="15" t="str">
        <f t="shared" si="15"/>
        <v/>
      </c>
      <c r="N94" t="str">
        <f t="shared" si="7"/>
        <v/>
      </c>
    </row>
    <row r="95" spans="4:14" x14ac:dyDescent="0.25">
      <c r="D95">
        <v>3</v>
      </c>
      <c r="E95" t="str">
        <f t="shared" si="8"/>
        <v>011</v>
      </c>
      <c r="G95" s="14" t="str">
        <f t="shared" si="13"/>
        <v>011</v>
      </c>
      <c r="H95" s="9" t="str">
        <f>IF(OR(G95=G94,BITWISE_XOR(G94,G95)=VALUE("111")),"",LEFT(G95,2))</f>
        <v/>
      </c>
      <c r="I95" s="9" t="str">
        <f>IF(OR(G95=G94,BITWISE_XOR(G94,G95)=VALUE("111")),"",RIGHT(G95,1))</f>
        <v/>
      </c>
      <c r="J95" s="9" t="b">
        <f>BITWISE_XOR(BIN2DEC(G94),7)=BIN2DEC(G95)</f>
        <v>0</v>
      </c>
      <c r="K95" s="9">
        <f t="shared" si="14"/>
        <v>0</v>
      </c>
      <c r="L95" s="9" t="str">
        <f t="shared" si="12"/>
        <v/>
      </c>
      <c r="M95" s="15" t="str">
        <f t="shared" si="15"/>
        <v/>
      </c>
      <c r="N95" t="str">
        <f t="shared" si="7"/>
        <v/>
      </c>
    </row>
    <row r="96" spans="4:14" x14ac:dyDescent="0.25">
      <c r="D96">
        <v>3</v>
      </c>
      <c r="E96" t="str">
        <f t="shared" si="8"/>
        <v>011</v>
      </c>
      <c r="G96" s="14" t="str">
        <f t="shared" si="13"/>
        <v>011</v>
      </c>
      <c r="H96" s="9" t="str">
        <f>IF(OR(G96=G95,BITWISE_XOR(G95,G96)=VALUE("111")),"",LEFT(G96,2))</f>
        <v/>
      </c>
      <c r="I96" s="9" t="str">
        <f>IF(OR(G96=G95,BITWISE_XOR(G95,G96)=VALUE("111")),"",RIGHT(G96,1))</f>
        <v/>
      </c>
      <c r="J96" s="9" t="b">
        <f>BITWISE_XOR(BIN2DEC(G95),7)=BIN2DEC(G96)</f>
        <v>0</v>
      </c>
      <c r="K96" s="9">
        <f t="shared" si="14"/>
        <v>0</v>
      </c>
      <c r="L96" s="9" t="str">
        <f t="shared" si="12"/>
        <v/>
      </c>
      <c r="M96" s="15" t="str">
        <f t="shared" si="15"/>
        <v/>
      </c>
      <c r="N96" t="str">
        <f t="shared" ref="N96:N159" si="16">IF(M96&lt;&gt;"",CHAR(M96),"")</f>
        <v/>
      </c>
    </row>
    <row r="97" spans="4:14" x14ac:dyDescent="0.25">
      <c r="D97">
        <v>3</v>
      </c>
      <c r="E97" t="str">
        <f t="shared" si="8"/>
        <v>011</v>
      </c>
      <c r="G97" s="14" t="str">
        <f t="shared" si="13"/>
        <v>011</v>
      </c>
      <c r="H97" s="9" t="str">
        <f>IF(OR(G97=G96,BITWISE_XOR(G96,G97)=VALUE("111")),"",LEFT(G97,2))</f>
        <v/>
      </c>
      <c r="I97" s="9" t="str">
        <f>IF(OR(G97=G96,BITWISE_XOR(G96,G97)=VALUE("111")),"",RIGHT(G97,1))</f>
        <v/>
      </c>
      <c r="J97" s="9" t="b">
        <f>BITWISE_XOR(BIN2DEC(G96),7)=BIN2DEC(G97)</f>
        <v>0</v>
      </c>
      <c r="K97" s="9">
        <f t="shared" si="14"/>
        <v>0</v>
      </c>
      <c r="L97" s="9" t="str">
        <f t="shared" si="12"/>
        <v/>
      </c>
      <c r="M97" s="15" t="str">
        <f t="shared" si="15"/>
        <v/>
      </c>
      <c r="N97" t="str">
        <f t="shared" si="16"/>
        <v/>
      </c>
    </row>
    <row r="98" spans="4:14" x14ac:dyDescent="0.25">
      <c r="D98">
        <v>4</v>
      </c>
      <c r="E98" t="str">
        <f t="shared" si="8"/>
        <v>100</v>
      </c>
      <c r="G98" s="14" t="str">
        <f t="shared" si="13"/>
        <v>100</v>
      </c>
      <c r="H98" s="9" t="str">
        <f>IF(OR(G98=G97,BITWISE_XOR(G97,G98)=VALUE("111")),"",LEFT(G98,2))</f>
        <v/>
      </c>
      <c r="I98" s="9" t="str">
        <f>IF(OR(G98=G97,BITWISE_XOR(G97,G98)=VALUE("111")),"",RIGHT(G98,1))</f>
        <v/>
      </c>
      <c r="J98" s="9" t="b">
        <f>BITWISE_XOR(BIN2DEC(G97),7)=BIN2DEC(G98)</f>
        <v>1</v>
      </c>
      <c r="K98" s="9">
        <f t="shared" si="14"/>
        <v>0</v>
      </c>
      <c r="L98" s="9" t="str">
        <f t="shared" si="12"/>
        <v/>
      </c>
      <c r="M98" s="15" t="str">
        <f t="shared" si="15"/>
        <v/>
      </c>
      <c r="N98" t="str">
        <f t="shared" si="16"/>
        <v/>
      </c>
    </row>
    <row r="99" spans="4:14" x14ac:dyDescent="0.25">
      <c r="D99">
        <v>4</v>
      </c>
      <c r="E99" t="str">
        <f t="shared" si="8"/>
        <v>100</v>
      </c>
      <c r="G99" s="14" t="str">
        <f t="shared" ref="G99:G162" si="17">E99</f>
        <v>100</v>
      </c>
      <c r="H99" s="9" t="str">
        <f>IF(OR(G99=G98,BITWISE_XOR(G98,G99)=VALUE("111")),"",LEFT(G99,2))</f>
        <v/>
      </c>
      <c r="I99" s="9" t="str">
        <f>IF(OR(G99=G98,BITWISE_XOR(G98,G99)=VALUE("111")),"",RIGHT(G99,1))</f>
        <v/>
      </c>
      <c r="J99" s="9" t="b">
        <f>BITWISE_XOR(BIN2DEC(G98),7)=BIN2DEC(G99)</f>
        <v>0</v>
      </c>
      <c r="K99" s="9">
        <f t="shared" ref="K99:K162" si="18">IF(J99=TRUE,0,(IF((H99=""),K98,MOD((K98+1),4))))</f>
        <v>0</v>
      </c>
      <c r="L99" s="9" t="str">
        <f t="shared" si="12"/>
        <v/>
      </c>
      <c r="M99" s="15" t="str">
        <f t="shared" ref="M99:M162" si="19">IF(AND(K99=0,K98=3),BIN2DEC(L99),"")</f>
        <v/>
      </c>
      <c r="N99" t="str">
        <f t="shared" si="16"/>
        <v/>
      </c>
    </row>
    <row r="100" spans="4:14" x14ac:dyDescent="0.25">
      <c r="D100">
        <v>4</v>
      </c>
      <c r="E100" t="str">
        <f t="shared" si="8"/>
        <v>100</v>
      </c>
      <c r="G100" s="14" t="str">
        <f t="shared" si="17"/>
        <v>100</v>
      </c>
      <c r="H100" s="9" t="str">
        <f>IF(OR(G100=G99,BITWISE_XOR(G99,G100)=VALUE("111")),"",LEFT(G100,2))</f>
        <v/>
      </c>
      <c r="I100" s="9" t="str">
        <f>IF(OR(G100=G99,BITWISE_XOR(G99,G100)=VALUE("111")),"",RIGHT(G100,1))</f>
        <v/>
      </c>
      <c r="J100" s="9" t="b">
        <f>BITWISE_XOR(BIN2DEC(G99),7)=BIN2DEC(G100)</f>
        <v>0</v>
      </c>
      <c r="K100" s="9">
        <f t="shared" si="18"/>
        <v>0</v>
      </c>
      <c r="L100" s="9" t="str">
        <f t="shared" si="12"/>
        <v/>
      </c>
      <c r="M100" s="15" t="str">
        <f t="shared" si="19"/>
        <v/>
      </c>
      <c r="N100" t="str">
        <f t="shared" si="16"/>
        <v/>
      </c>
    </row>
    <row r="101" spans="4:14" x14ac:dyDescent="0.25">
      <c r="D101">
        <v>4</v>
      </c>
      <c r="E101" t="str">
        <f t="shared" si="8"/>
        <v>100</v>
      </c>
      <c r="G101" s="14" t="str">
        <f t="shared" si="17"/>
        <v>100</v>
      </c>
      <c r="H101" s="9" t="str">
        <f>IF(OR(G101=G100,BITWISE_XOR(G100,G101)=VALUE("111")),"",LEFT(G101,2))</f>
        <v/>
      </c>
      <c r="I101" s="9" t="str">
        <f>IF(OR(G101=G100,BITWISE_XOR(G100,G101)=VALUE("111")),"",RIGHT(G101,1))</f>
        <v/>
      </c>
      <c r="J101" s="9" t="b">
        <f>BITWISE_XOR(BIN2DEC(G100),7)=BIN2DEC(G101)</f>
        <v>0</v>
      </c>
      <c r="K101" s="9">
        <f t="shared" si="18"/>
        <v>0</v>
      </c>
      <c r="L101" s="9" t="str">
        <f t="shared" si="12"/>
        <v/>
      </c>
      <c r="M101" s="15" t="str">
        <f t="shared" si="19"/>
        <v/>
      </c>
      <c r="N101" t="str">
        <f t="shared" si="16"/>
        <v/>
      </c>
    </row>
    <row r="102" spans="4:14" x14ac:dyDescent="0.25">
      <c r="D102">
        <v>4</v>
      </c>
      <c r="E102" t="str">
        <f t="shared" si="8"/>
        <v>100</v>
      </c>
      <c r="G102" s="14" t="str">
        <f t="shared" si="17"/>
        <v>100</v>
      </c>
      <c r="H102" s="9" t="str">
        <f>IF(OR(G102=G101,BITWISE_XOR(G101,G102)=VALUE("111")),"",LEFT(G102,2))</f>
        <v/>
      </c>
      <c r="I102" s="9" t="str">
        <f>IF(OR(G102=G101,BITWISE_XOR(G101,G102)=VALUE("111")),"",RIGHT(G102,1))</f>
        <v/>
      </c>
      <c r="J102" s="9" t="b">
        <f>BITWISE_XOR(BIN2DEC(G101),7)=BIN2DEC(G102)</f>
        <v>0</v>
      </c>
      <c r="K102" s="9">
        <f t="shared" si="18"/>
        <v>0</v>
      </c>
      <c r="L102" s="9" t="str">
        <f t="shared" si="12"/>
        <v/>
      </c>
      <c r="M102" s="15" t="str">
        <f t="shared" si="19"/>
        <v/>
      </c>
      <c r="N102" t="str">
        <f t="shared" si="16"/>
        <v/>
      </c>
    </row>
    <row r="103" spans="4:14" x14ac:dyDescent="0.25">
      <c r="D103">
        <v>4</v>
      </c>
      <c r="E103" t="str">
        <f t="shared" si="8"/>
        <v>100</v>
      </c>
      <c r="G103" s="14" t="str">
        <f t="shared" si="17"/>
        <v>100</v>
      </c>
      <c r="H103" s="9" t="str">
        <f>IF(OR(G103=G102,BITWISE_XOR(G102,G103)=VALUE("111")),"",LEFT(G103,2))</f>
        <v/>
      </c>
      <c r="I103" s="9" t="str">
        <f>IF(OR(G103=G102,BITWISE_XOR(G102,G103)=VALUE("111")),"",RIGHT(G103,1))</f>
        <v/>
      </c>
      <c r="J103" s="9" t="b">
        <f>BITWISE_XOR(BIN2DEC(G102),7)=BIN2DEC(G103)</f>
        <v>0</v>
      </c>
      <c r="K103" s="9">
        <f t="shared" si="18"/>
        <v>0</v>
      </c>
      <c r="L103" s="9" t="str">
        <f t="shared" si="12"/>
        <v/>
      </c>
      <c r="M103" s="15" t="str">
        <f t="shared" si="19"/>
        <v/>
      </c>
      <c r="N103" t="str">
        <f t="shared" si="16"/>
        <v/>
      </c>
    </row>
    <row r="104" spans="4:14" x14ac:dyDescent="0.25">
      <c r="D104">
        <v>4</v>
      </c>
      <c r="E104" t="str">
        <f t="shared" si="8"/>
        <v>100</v>
      </c>
      <c r="G104" s="14" t="str">
        <f t="shared" si="17"/>
        <v>100</v>
      </c>
      <c r="H104" s="9" t="str">
        <f>IF(OR(G104=G103,BITWISE_XOR(G103,G104)=VALUE("111")),"",LEFT(G104,2))</f>
        <v/>
      </c>
      <c r="I104" s="9" t="str">
        <f>IF(OR(G104=G103,BITWISE_XOR(G103,G104)=VALUE("111")),"",RIGHT(G104,1))</f>
        <v/>
      </c>
      <c r="J104" s="9" t="b">
        <f>BITWISE_XOR(BIN2DEC(G103),7)=BIN2DEC(G104)</f>
        <v>0</v>
      </c>
      <c r="K104" s="9">
        <f t="shared" si="18"/>
        <v>0</v>
      </c>
      <c r="L104" s="9" t="str">
        <f t="shared" si="12"/>
        <v/>
      </c>
      <c r="M104" s="15" t="str">
        <f t="shared" si="19"/>
        <v/>
      </c>
      <c r="N104" t="str">
        <f t="shared" si="16"/>
        <v/>
      </c>
    </row>
    <row r="105" spans="4:14" x14ac:dyDescent="0.25">
      <c r="D105">
        <v>3</v>
      </c>
      <c r="E105" t="str">
        <f t="shared" si="8"/>
        <v>011</v>
      </c>
      <c r="G105" s="14" t="str">
        <f t="shared" si="17"/>
        <v>011</v>
      </c>
      <c r="H105" s="9" t="str">
        <f>IF(OR(G105=G104,BITWISE_XOR(G104,G105)=VALUE("111")),"",LEFT(G105,2))</f>
        <v/>
      </c>
      <c r="I105" s="9" t="str">
        <f>IF(OR(G105=G104,BITWISE_XOR(G104,G105)=VALUE("111")),"",RIGHT(G105,1))</f>
        <v/>
      </c>
      <c r="J105" s="9" t="b">
        <f>BITWISE_XOR(BIN2DEC(G104),7)=BIN2DEC(G105)</f>
        <v>1</v>
      </c>
      <c r="K105" s="9">
        <f t="shared" si="18"/>
        <v>0</v>
      </c>
      <c r="L105" s="9" t="str">
        <f t="shared" si="12"/>
        <v/>
      </c>
      <c r="M105" s="15" t="str">
        <f t="shared" si="19"/>
        <v/>
      </c>
      <c r="N105" t="str">
        <f t="shared" si="16"/>
        <v/>
      </c>
    </row>
    <row r="106" spans="4:14" x14ac:dyDescent="0.25">
      <c r="D106">
        <v>3</v>
      </c>
      <c r="E106" t="str">
        <f t="shared" si="8"/>
        <v>011</v>
      </c>
      <c r="G106" s="14" t="str">
        <f t="shared" si="17"/>
        <v>011</v>
      </c>
      <c r="H106" s="9" t="str">
        <f>IF(OR(G106=G105,BITWISE_XOR(G105,G106)=VALUE("111")),"",LEFT(G106,2))</f>
        <v/>
      </c>
      <c r="I106" s="9" t="str">
        <f>IF(OR(G106=G105,BITWISE_XOR(G105,G106)=VALUE("111")),"",RIGHT(G106,1))</f>
        <v/>
      </c>
      <c r="J106" s="9" t="b">
        <f>BITWISE_XOR(BIN2DEC(G105),7)=BIN2DEC(G106)</f>
        <v>0</v>
      </c>
      <c r="K106" s="9">
        <f t="shared" si="18"/>
        <v>0</v>
      </c>
      <c r="L106" s="9" t="str">
        <f t="shared" si="12"/>
        <v/>
      </c>
      <c r="M106" s="15" t="str">
        <f t="shared" si="19"/>
        <v/>
      </c>
      <c r="N106" t="str">
        <f t="shared" si="16"/>
        <v/>
      </c>
    </row>
    <row r="107" spans="4:14" x14ac:dyDescent="0.25">
      <c r="D107">
        <v>3</v>
      </c>
      <c r="E107" t="str">
        <f t="shared" si="8"/>
        <v>011</v>
      </c>
      <c r="G107" s="14" t="str">
        <f t="shared" si="17"/>
        <v>011</v>
      </c>
      <c r="H107" s="9" t="str">
        <f>IF(OR(G107=G106,BITWISE_XOR(G106,G107)=VALUE("111")),"",LEFT(G107,2))</f>
        <v/>
      </c>
      <c r="I107" s="9" t="str">
        <f>IF(OR(G107=G106,BITWISE_XOR(G106,G107)=VALUE("111")),"",RIGHT(G107,1))</f>
        <v/>
      </c>
      <c r="J107" s="9" t="b">
        <f>BITWISE_XOR(BIN2DEC(G106),7)=BIN2DEC(G107)</f>
        <v>0</v>
      </c>
      <c r="K107" s="9">
        <f t="shared" si="18"/>
        <v>0</v>
      </c>
      <c r="L107" s="9" t="str">
        <f t="shared" si="12"/>
        <v/>
      </c>
      <c r="M107" s="15" t="str">
        <f t="shared" si="19"/>
        <v/>
      </c>
      <c r="N107" t="str">
        <f t="shared" si="16"/>
        <v/>
      </c>
    </row>
    <row r="108" spans="4:14" x14ac:dyDescent="0.25">
      <c r="D108">
        <v>3</v>
      </c>
      <c r="E108" t="str">
        <f t="shared" si="8"/>
        <v>011</v>
      </c>
      <c r="G108" s="14" t="str">
        <f t="shared" si="17"/>
        <v>011</v>
      </c>
      <c r="H108" s="9" t="str">
        <f>IF(OR(G108=G107,BITWISE_XOR(G107,G108)=VALUE("111")),"",LEFT(G108,2))</f>
        <v/>
      </c>
      <c r="I108" s="9" t="str">
        <f>IF(OR(G108=G107,BITWISE_XOR(G107,G108)=VALUE("111")),"",RIGHT(G108,1))</f>
        <v/>
      </c>
      <c r="J108" s="9" t="b">
        <f>BITWISE_XOR(BIN2DEC(G107),7)=BIN2DEC(G108)</f>
        <v>0</v>
      </c>
      <c r="K108" s="9">
        <f t="shared" si="18"/>
        <v>0</v>
      </c>
      <c r="L108" s="9" t="str">
        <f t="shared" si="12"/>
        <v/>
      </c>
      <c r="M108" s="15" t="str">
        <f t="shared" si="19"/>
        <v/>
      </c>
      <c r="N108" t="str">
        <f t="shared" si="16"/>
        <v/>
      </c>
    </row>
    <row r="109" spans="4:14" x14ac:dyDescent="0.25">
      <c r="D109">
        <v>3</v>
      </c>
      <c r="E109" t="str">
        <f t="shared" si="8"/>
        <v>011</v>
      </c>
      <c r="G109" s="14" t="str">
        <f t="shared" si="17"/>
        <v>011</v>
      </c>
      <c r="H109" s="9" t="str">
        <f>IF(OR(G109=G108,BITWISE_XOR(G108,G109)=VALUE("111")),"",LEFT(G109,2))</f>
        <v/>
      </c>
      <c r="I109" s="9" t="str">
        <f>IF(OR(G109=G108,BITWISE_XOR(G108,G109)=VALUE("111")),"",RIGHT(G109,1))</f>
        <v/>
      </c>
      <c r="J109" s="9" t="b">
        <f>BITWISE_XOR(BIN2DEC(G108),7)=BIN2DEC(G109)</f>
        <v>0</v>
      </c>
      <c r="K109" s="9">
        <f t="shared" si="18"/>
        <v>0</v>
      </c>
      <c r="L109" s="9" t="str">
        <f t="shared" si="12"/>
        <v/>
      </c>
      <c r="M109" s="15" t="str">
        <f t="shared" si="19"/>
        <v/>
      </c>
      <c r="N109" t="str">
        <f t="shared" si="16"/>
        <v/>
      </c>
    </row>
    <row r="110" spans="4:14" x14ac:dyDescent="0.25">
      <c r="D110">
        <v>3</v>
      </c>
      <c r="E110" t="str">
        <f t="shared" si="8"/>
        <v>011</v>
      </c>
      <c r="G110" s="14" t="str">
        <f t="shared" si="17"/>
        <v>011</v>
      </c>
      <c r="H110" s="9" t="str">
        <f>IF(OR(G110=G109,BITWISE_XOR(G109,G110)=VALUE("111")),"",LEFT(G110,2))</f>
        <v/>
      </c>
      <c r="I110" s="9" t="str">
        <f>IF(OR(G110=G109,BITWISE_XOR(G109,G110)=VALUE("111")),"",RIGHT(G110,1))</f>
        <v/>
      </c>
      <c r="J110" s="9" t="b">
        <f>BITWISE_XOR(BIN2DEC(G109),7)=BIN2DEC(G110)</f>
        <v>0</v>
      </c>
      <c r="K110" s="9">
        <f t="shared" si="18"/>
        <v>0</v>
      </c>
      <c r="L110" s="9" t="str">
        <f t="shared" si="12"/>
        <v/>
      </c>
      <c r="M110" s="15" t="str">
        <f t="shared" si="19"/>
        <v/>
      </c>
      <c r="N110" t="str">
        <f t="shared" si="16"/>
        <v/>
      </c>
    </row>
    <row r="111" spans="4:14" x14ac:dyDescent="0.25">
      <c r="D111">
        <v>3</v>
      </c>
      <c r="E111" t="str">
        <f t="shared" si="8"/>
        <v>011</v>
      </c>
      <c r="G111" s="14" t="str">
        <f t="shared" si="17"/>
        <v>011</v>
      </c>
      <c r="H111" s="9" t="str">
        <f>IF(OR(G111=G110,BITWISE_XOR(G110,G111)=VALUE("111")),"",LEFT(G111,2))</f>
        <v/>
      </c>
      <c r="I111" s="9" t="str">
        <f>IF(OR(G111=G110,BITWISE_XOR(G110,G111)=VALUE("111")),"",RIGHT(G111,1))</f>
        <v/>
      </c>
      <c r="J111" s="9" t="b">
        <f>BITWISE_XOR(BIN2DEC(G110),7)=BIN2DEC(G111)</f>
        <v>0</v>
      </c>
      <c r="K111" s="9">
        <f t="shared" si="18"/>
        <v>0</v>
      </c>
      <c r="L111" s="9" t="str">
        <f t="shared" si="12"/>
        <v/>
      </c>
      <c r="M111" s="15" t="str">
        <f t="shared" si="19"/>
        <v/>
      </c>
      <c r="N111" t="str">
        <f t="shared" si="16"/>
        <v/>
      </c>
    </row>
    <row r="112" spans="4:14" x14ac:dyDescent="0.25">
      <c r="D112">
        <v>1</v>
      </c>
      <c r="E112" t="str">
        <f t="shared" si="8"/>
        <v>001</v>
      </c>
      <c r="G112" s="14" t="str">
        <f t="shared" si="17"/>
        <v>001</v>
      </c>
      <c r="H112" s="9" t="str">
        <f>IF(OR(G112=G111,BITWISE_XOR(G111,G112)=VALUE("111")),"",LEFT(G112,2))</f>
        <v>00</v>
      </c>
      <c r="I112" s="9" t="str">
        <f>IF(OR(G112=G111,BITWISE_XOR(G111,G112)=VALUE("111")),"",RIGHT(G112,1))</f>
        <v>1</v>
      </c>
      <c r="J112" s="9" t="b">
        <f>BITWISE_XOR(BIN2DEC(G111),7)=BIN2DEC(G112)</f>
        <v>0</v>
      </c>
      <c r="K112" s="9">
        <f t="shared" si="18"/>
        <v>1</v>
      </c>
      <c r="L112" s="9" t="str">
        <f t="shared" si="12"/>
        <v>00</v>
      </c>
      <c r="M112" s="15" t="str">
        <f t="shared" si="19"/>
        <v/>
      </c>
      <c r="N112" t="str">
        <f t="shared" si="16"/>
        <v/>
      </c>
    </row>
    <row r="113" spans="4:14" x14ac:dyDescent="0.25">
      <c r="D113">
        <v>1</v>
      </c>
      <c r="E113" t="str">
        <f t="shared" ref="E113:E176" si="20">DEC2BIN(D113,3)</f>
        <v>001</v>
      </c>
      <c r="G113" s="14" t="str">
        <f t="shared" si="17"/>
        <v>001</v>
      </c>
      <c r="H113" s="9" t="str">
        <f>IF(OR(G113=G112,BITWISE_XOR(G112,G113)=VALUE("111")),"",LEFT(G113,2))</f>
        <v/>
      </c>
      <c r="I113" s="9" t="str">
        <f>IF(OR(G113=G112,BITWISE_XOR(G112,G113)=VALUE("111")),"",RIGHT(G113,1))</f>
        <v/>
      </c>
      <c r="J113" s="9" t="b">
        <f>BITWISE_XOR(BIN2DEC(G112),7)=BIN2DEC(G113)</f>
        <v>0</v>
      </c>
      <c r="K113" s="9">
        <f t="shared" si="18"/>
        <v>1</v>
      </c>
      <c r="L113" s="9" t="str">
        <f t="shared" si="12"/>
        <v>00</v>
      </c>
      <c r="M113" s="15" t="str">
        <f t="shared" si="19"/>
        <v/>
      </c>
      <c r="N113" t="str">
        <f t="shared" si="16"/>
        <v/>
      </c>
    </row>
    <row r="114" spans="4:14" x14ac:dyDescent="0.25">
      <c r="D114">
        <v>1</v>
      </c>
      <c r="E114" t="str">
        <f t="shared" si="20"/>
        <v>001</v>
      </c>
      <c r="G114" s="14" t="str">
        <f t="shared" si="17"/>
        <v>001</v>
      </c>
      <c r="H114" s="9" t="str">
        <f>IF(OR(G114=G113,BITWISE_XOR(G113,G114)=VALUE("111")),"",LEFT(G114,2))</f>
        <v/>
      </c>
      <c r="I114" s="9" t="str">
        <f>IF(OR(G114=G113,BITWISE_XOR(G113,G114)=VALUE("111")),"",RIGHT(G114,1))</f>
        <v/>
      </c>
      <c r="J114" s="9" t="b">
        <f>BITWISE_XOR(BIN2DEC(G113),7)=BIN2DEC(G114)</f>
        <v>0</v>
      </c>
      <c r="K114" s="9">
        <f t="shared" si="18"/>
        <v>1</v>
      </c>
      <c r="L114" s="9" t="str">
        <f t="shared" si="12"/>
        <v>00</v>
      </c>
      <c r="M114" s="15" t="str">
        <f t="shared" si="19"/>
        <v/>
      </c>
      <c r="N114" t="str">
        <f t="shared" si="16"/>
        <v/>
      </c>
    </row>
    <row r="115" spans="4:14" x14ac:dyDescent="0.25">
      <c r="D115">
        <v>1</v>
      </c>
      <c r="E115" t="str">
        <f t="shared" si="20"/>
        <v>001</v>
      </c>
      <c r="G115" s="14" t="str">
        <f t="shared" si="17"/>
        <v>001</v>
      </c>
      <c r="H115" s="9" t="str">
        <f>IF(OR(G115=G114,BITWISE_XOR(G114,G115)=VALUE("111")),"",LEFT(G115,2))</f>
        <v/>
      </c>
      <c r="I115" s="9" t="str">
        <f>IF(OR(G115=G114,BITWISE_XOR(G114,G115)=VALUE("111")),"",RIGHT(G115,1))</f>
        <v/>
      </c>
      <c r="J115" s="9" t="b">
        <f>BITWISE_XOR(BIN2DEC(G114),7)=BIN2DEC(G115)</f>
        <v>0</v>
      </c>
      <c r="K115" s="9">
        <f t="shared" si="18"/>
        <v>1</v>
      </c>
      <c r="L115" s="9" t="str">
        <f t="shared" si="12"/>
        <v>00</v>
      </c>
      <c r="M115" s="15" t="str">
        <f t="shared" si="19"/>
        <v/>
      </c>
      <c r="N115" t="str">
        <f t="shared" si="16"/>
        <v/>
      </c>
    </row>
    <row r="116" spans="4:14" x14ac:dyDescent="0.25">
      <c r="D116">
        <v>1</v>
      </c>
      <c r="E116" t="str">
        <f t="shared" si="20"/>
        <v>001</v>
      </c>
      <c r="G116" s="14" t="str">
        <f t="shared" si="17"/>
        <v>001</v>
      </c>
      <c r="H116" s="9" t="str">
        <f>IF(OR(G116=G115,BITWISE_XOR(G115,G116)=VALUE("111")),"",LEFT(G116,2))</f>
        <v/>
      </c>
      <c r="I116" s="9" t="str">
        <f>IF(OR(G116=G115,BITWISE_XOR(G115,G116)=VALUE("111")),"",RIGHT(G116,1))</f>
        <v/>
      </c>
      <c r="J116" s="9" t="b">
        <f>BITWISE_XOR(BIN2DEC(G115),7)=BIN2DEC(G116)</f>
        <v>0</v>
      </c>
      <c r="K116" s="9">
        <f t="shared" si="18"/>
        <v>1</v>
      </c>
      <c r="L116" s="9" t="str">
        <f t="shared" si="12"/>
        <v>00</v>
      </c>
      <c r="M116" s="15" t="str">
        <f t="shared" si="19"/>
        <v/>
      </c>
      <c r="N116" t="str">
        <f t="shared" si="16"/>
        <v/>
      </c>
    </row>
    <row r="117" spans="4:14" x14ac:dyDescent="0.25">
      <c r="D117">
        <v>1</v>
      </c>
      <c r="E117" t="str">
        <f t="shared" si="20"/>
        <v>001</v>
      </c>
      <c r="G117" s="14" t="str">
        <f t="shared" si="17"/>
        <v>001</v>
      </c>
      <c r="H117" s="9" t="str">
        <f>IF(OR(G117=G116,BITWISE_XOR(G116,G117)=VALUE("111")),"",LEFT(G117,2))</f>
        <v/>
      </c>
      <c r="I117" s="9" t="str">
        <f>IF(OR(G117=G116,BITWISE_XOR(G116,G117)=VALUE("111")),"",RIGHT(G117,1))</f>
        <v/>
      </c>
      <c r="J117" s="9" t="b">
        <f>BITWISE_XOR(BIN2DEC(G116),7)=BIN2DEC(G117)</f>
        <v>0</v>
      </c>
      <c r="K117" s="9">
        <f t="shared" si="18"/>
        <v>1</v>
      </c>
      <c r="L117" s="9" t="str">
        <f t="shared" si="12"/>
        <v>00</v>
      </c>
      <c r="M117" s="15" t="str">
        <f t="shared" si="19"/>
        <v/>
      </c>
      <c r="N117" t="str">
        <f t="shared" si="16"/>
        <v/>
      </c>
    </row>
    <row r="118" spans="4:14" x14ac:dyDescent="0.25">
      <c r="D118">
        <v>1</v>
      </c>
      <c r="E118" t="str">
        <f t="shared" si="20"/>
        <v>001</v>
      </c>
      <c r="G118" s="14" t="str">
        <f t="shared" si="17"/>
        <v>001</v>
      </c>
      <c r="H118" s="9" t="str">
        <f>IF(OR(G118=G117,BITWISE_XOR(G117,G118)=VALUE("111")),"",LEFT(G118,2))</f>
        <v/>
      </c>
      <c r="I118" s="9" t="str">
        <f>IF(OR(G118=G117,BITWISE_XOR(G117,G118)=VALUE("111")),"",RIGHT(G118,1))</f>
        <v/>
      </c>
      <c r="J118" s="9" t="b">
        <f>BITWISE_XOR(BIN2DEC(G117),7)=BIN2DEC(G118)</f>
        <v>0</v>
      </c>
      <c r="K118" s="9">
        <f t="shared" si="18"/>
        <v>1</v>
      </c>
      <c r="L118" s="9" t="str">
        <f t="shared" si="12"/>
        <v>00</v>
      </c>
      <c r="M118" s="15" t="str">
        <f t="shared" si="19"/>
        <v/>
      </c>
      <c r="N118" t="str">
        <f t="shared" si="16"/>
        <v/>
      </c>
    </row>
    <row r="119" spans="4:14" x14ac:dyDescent="0.25">
      <c r="D119">
        <v>7</v>
      </c>
      <c r="E119" t="str">
        <f t="shared" si="20"/>
        <v>111</v>
      </c>
      <c r="G119" s="14" t="str">
        <f t="shared" si="17"/>
        <v>111</v>
      </c>
      <c r="H119" s="9" t="str">
        <f>IF(OR(G119=G118,BITWISE_XOR(G118,G119)=VALUE("111")),"",LEFT(G119,2))</f>
        <v>11</v>
      </c>
      <c r="I119" s="9" t="str">
        <f>IF(OR(G119=G118,BITWISE_XOR(G118,G119)=VALUE("111")),"",RIGHT(G119,1))</f>
        <v>1</v>
      </c>
      <c r="J119" s="9" t="b">
        <f>BITWISE_XOR(BIN2DEC(G118),7)=BIN2DEC(G119)</f>
        <v>0</v>
      </c>
      <c r="K119" s="9">
        <f t="shared" si="18"/>
        <v>2</v>
      </c>
      <c r="L119" s="9" t="str">
        <f t="shared" si="12"/>
        <v>1100</v>
      </c>
      <c r="M119" s="15" t="str">
        <f t="shared" si="19"/>
        <v/>
      </c>
      <c r="N119" t="str">
        <f t="shared" si="16"/>
        <v/>
      </c>
    </row>
    <row r="120" spans="4:14" x14ac:dyDescent="0.25">
      <c r="D120">
        <v>7</v>
      </c>
      <c r="E120" t="str">
        <f t="shared" si="20"/>
        <v>111</v>
      </c>
      <c r="G120" s="14" t="str">
        <f t="shared" si="17"/>
        <v>111</v>
      </c>
      <c r="H120" s="9" t="str">
        <f>IF(OR(G120=G119,BITWISE_XOR(G119,G120)=VALUE("111")),"",LEFT(G120,2))</f>
        <v/>
      </c>
      <c r="I120" s="9" t="str">
        <f>IF(OR(G120=G119,BITWISE_XOR(G119,G120)=VALUE("111")),"",RIGHT(G120,1))</f>
        <v/>
      </c>
      <c r="J120" s="9" t="b">
        <f>BITWISE_XOR(BIN2DEC(G119),7)=BIN2DEC(G120)</f>
        <v>0</v>
      </c>
      <c r="K120" s="9">
        <f t="shared" si="18"/>
        <v>2</v>
      </c>
      <c r="L120" s="9" t="str">
        <f t="shared" si="12"/>
        <v>1100</v>
      </c>
      <c r="M120" s="15" t="str">
        <f t="shared" si="19"/>
        <v/>
      </c>
      <c r="N120" t="str">
        <f t="shared" si="16"/>
        <v/>
      </c>
    </row>
    <row r="121" spans="4:14" x14ac:dyDescent="0.25">
      <c r="D121">
        <v>7</v>
      </c>
      <c r="E121" t="str">
        <f t="shared" si="20"/>
        <v>111</v>
      </c>
      <c r="G121" s="14" t="str">
        <f t="shared" si="17"/>
        <v>111</v>
      </c>
      <c r="H121" s="9" t="str">
        <f>IF(OR(G121=G120,BITWISE_XOR(G120,G121)=VALUE("111")),"",LEFT(G121,2))</f>
        <v/>
      </c>
      <c r="I121" s="9" t="str">
        <f>IF(OR(G121=G120,BITWISE_XOR(G120,G121)=VALUE("111")),"",RIGHT(G121,1))</f>
        <v/>
      </c>
      <c r="J121" s="9" t="b">
        <f>BITWISE_XOR(BIN2DEC(G120),7)=BIN2DEC(G121)</f>
        <v>0</v>
      </c>
      <c r="K121" s="9">
        <f t="shared" si="18"/>
        <v>2</v>
      </c>
      <c r="L121" s="9" t="str">
        <f t="shared" si="12"/>
        <v>1100</v>
      </c>
      <c r="M121" s="15" t="str">
        <f t="shared" si="19"/>
        <v/>
      </c>
      <c r="N121" t="str">
        <f t="shared" si="16"/>
        <v/>
      </c>
    </row>
    <row r="122" spans="4:14" x14ac:dyDescent="0.25">
      <c r="D122">
        <v>7</v>
      </c>
      <c r="E122" t="str">
        <f t="shared" si="20"/>
        <v>111</v>
      </c>
      <c r="G122" s="14" t="str">
        <f t="shared" si="17"/>
        <v>111</v>
      </c>
      <c r="H122" s="9" t="str">
        <f>IF(OR(G122=G121,BITWISE_XOR(G121,G122)=VALUE("111")),"",LEFT(G122,2))</f>
        <v/>
      </c>
      <c r="I122" s="9" t="str">
        <f>IF(OR(G122=G121,BITWISE_XOR(G121,G122)=VALUE("111")),"",RIGHT(G122,1))</f>
        <v/>
      </c>
      <c r="J122" s="9" t="b">
        <f>BITWISE_XOR(BIN2DEC(G121),7)=BIN2DEC(G122)</f>
        <v>0</v>
      </c>
      <c r="K122" s="9">
        <f t="shared" si="18"/>
        <v>2</v>
      </c>
      <c r="L122" s="9" t="str">
        <f t="shared" si="12"/>
        <v>1100</v>
      </c>
      <c r="M122" s="15" t="str">
        <f t="shared" si="19"/>
        <v/>
      </c>
      <c r="N122" t="str">
        <f t="shared" si="16"/>
        <v/>
      </c>
    </row>
    <row r="123" spans="4:14" x14ac:dyDescent="0.25">
      <c r="D123">
        <v>7</v>
      </c>
      <c r="E123" t="str">
        <f t="shared" si="20"/>
        <v>111</v>
      </c>
      <c r="G123" s="14" t="str">
        <f t="shared" si="17"/>
        <v>111</v>
      </c>
      <c r="H123" s="9" t="str">
        <f>IF(OR(G123=G122,BITWISE_XOR(G122,G123)=VALUE("111")),"",LEFT(G123,2))</f>
        <v/>
      </c>
      <c r="I123" s="9" t="str">
        <f>IF(OR(G123=G122,BITWISE_XOR(G122,G123)=VALUE("111")),"",RIGHT(G123,1))</f>
        <v/>
      </c>
      <c r="J123" s="9" t="b">
        <f>BITWISE_XOR(BIN2DEC(G122),7)=BIN2DEC(G123)</f>
        <v>0</v>
      </c>
      <c r="K123" s="9">
        <f t="shared" si="18"/>
        <v>2</v>
      </c>
      <c r="L123" s="9" t="str">
        <f t="shared" si="12"/>
        <v>1100</v>
      </c>
      <c r="M123" s="15" t="str">
        <f t="shared" si="19"/>
        <v/>
      </c>
      <c r="N123" t="str">
        <f t="shared" si="16"/>
        <v/>
      </c>
    </row>
    <row r="124" spans="4:14" x14ac:dyDescent="0.25">
      <c r="D124">
        <v>7</v>
      </c>
      <c r="E124" t="str">
        <f t="shared" si="20"/>
        <v>111</v>
      </c>
      <c r="G124" s="14" t="str">
        <f t="shared" si="17"/>
        <v>111</v>
      </c>
      <c r="H124" s="9" t="str">
        <f>IF(OR(G124=G123,BITWISE_XOR(G123,G124)=VALUE("111")),"",LEFT(G124,2))</f>
        <v/>
      </c>
      <c r="I124" s="9" t="str">
        <f>IF(OR(G124=G123,BITWISE_XOR(G123,G124)=VALUE("111")),"",RIGHT(G124,1))</f>
        <v/>
      </c>
      <c r="J124" s="9" t="b">
        <f>BITWISE_XOR(BIN2DEC(G123),7)=BIN2DEC(G124)</f>
        <v>0</v>
      </c>
      <c r="K124" s="9">
        <f t="shared" si="18"/>
        <v>2</v>
      </c>
      <c r="L124" s="9" t="str">
        <f t="shared" si="12"/>
        <v>1100</v>
      </c>
      <c r="M124" s="15" t="str">
        <f t="shared" si="19"/>
        <v/>
      </c>
      <c r="N124" t="str">
        <f t="shared" si="16"/>
        <v/>
      </c>
    </row>
    <row r="125" spans="4:14" x14ac:dyDescent="0.25">
      <c r="D125">
        <v>7</v>
      </c>
      <c r="E125" t="str">
        <f t="shared" si="20"/>
        <v>111</v>
      </c>
      <c r="G125" s="14" t="str">
        <f t="shared" si="17"/>
        <v>111</v>
      </c>
      <c r="H125" s="9" t="str">
        <f>IF(OR(G125=G124,BITWISE_XOR(G124,G125)=VALUE("111")),"",LEFT(G125,2))</f>
        <v/>
      </c>
      <c r="I125" s="9" t="str">
        <f>IF(OR(G125=G124,BITWISE_XOR(G124,G125)=VALUE("111")),"",RIGHT(G125,1))</f>
        <v/>
      </c>
      <c r="J125" s="9" t="b">
        <f>BITWISE_XOR(BIN2DEC(G124),7)=BIN2DEC(G125)</f>
        <v>0</v>
      </c>
      <c r="K125" s="9">
        <f t="shared" si="18"/>
        <v>2</v>
      </c>
      <c r="L125" s="9" t="str">
        <f t="shared" si="12"/>
        <v>1100</v>
      </c>
      <c r="M125" s="15" t="str">
        <f t="shared" si="19"/>
        <v/>
      </c>
      <c r="N125" t="str">
        <f t="shared" si="16"/>
        <v/>
      </c>
    </row>
    <row r="126" spans="4:14" x14ac:dyDescent="0.25">
      <c r="D126">
        <v>5</v>
      </c>
      <c r="E126" t="str">
        <f t="shared" si="20"/>
        <v>101</v>
      </c>
      <c r="G126" s="14" t="str">
        <f t="shared" si="17"/>
        <v>101</v>
      </c>
      <c r="H126" s="9" t="str">
        <f>IF(OR(G126=G125,BITWISE_XOR(G125,G126)=VALUE("111")),"",LEFT(G126,2))</f>
        <v>10</v>
      </c>
      <c r="I126" s="9" t="str">
        <f>IF(OR(G126=G125,BITWISE_XOR(G125,G126)=VALUE("111")),"",RIGHT(G126,1))</f>
        <v>1</v>
      </c>
      <c r="J126" s="9" t="b">
        <f>BITWISE_XOR(BIN2DEC(G125),7)=BIN2DEC(G126)</f>
        <v>0</v>
      </c>
      <c r="K126" s="9">
        <f t="shared" si="18"/>
        <v>3</v>
      </c>
      <c r="L126" s="9" t="str">
        <f t="shared" si="12"/>
        <v>101100</v>
      </c>
      <c r="M126" s="15" t="str">
        <f t="shared" si="19"/>
        <v/>
      </c>
      <c r="N126" t="str">
        <f t="shared" si="16"/>
        <v/>
      </c>
    </row>
    <row r="127" spans="4:14" x14ac:dyDescent="0.25">
      <c r="D127">
        <v>5</v>
      </c>
      <c r="E127" t="str">
        <f t="shared" si="20"/>
        <v>101</v>
      </c>
      <c r="G127" s="14" t="str">
        <f t="shared" si="17"/>
        <v>101</v>
      </c>
      <c r="H127" s="9" t="str">
        <f>IF(OR(G127=G126,BITWISE_XOR(G126,G127)=VALUE("111")),"",LEFT(G127,2))</f>
        <v/>
      </c>
      <c r="I127" s="9" t="str">
        <f>IF(OR(G127=G126,BITWISE_XOR(G126,G127)=VALUE("111")),"",RIGHT(G127,1))</f>
        <v/>
      </c>
      <c r="J127" s="9" t="b">
        <f>BITWISE_XOR(BIN2DEC(G126),7)=BIN2DEC(G127)</f>
        <v>0</v>
      </c>
      <c r="K127" s="9">
        <f t="shared" si="18"/>
        <v>3</v>
      </c>
      <c r="L127" s="9" t="str">
        <f t="shared" si="12"/>
        <v>101100</v>
      </c>
      <c r="M127" s="15" t="str">
        <f t="shared" si="19"/>
        <v/>
      </c>
      <c r="N127" t="str">
        <f t="shared" si="16"/>
        <v/>
      </c>
    </row>
    <row r="128" spans="4:14" x14ac:dyDescent="0.25">
      <c r="D128">
        <v>5</v>
      </c>
      <c r="E128" t="str">
        <f t="shared" si="20"/>
        <v>101</v>
      </c>
      <c r="G128" s="14" t="str">
        <f t="shared" si="17"/>
        <v>101</v>
      </c>
      <c r="H128" s="9" t="str">
        <f>IF(OR(G128=G127,BITWISE_XOR(G127,G128)=VALUE("111")),"",LEFT(G128,2))</f>
        <v/>
      </c>
      <c r="I128" s="9" t="str">
        <f>IF(OR(G128=G127,BITWISE_XOR(G127,G128)=VALUE("111")),"",RIGHT(G128,1))</f>
        <v/>
      </c>
      <c r="J128" s="9" t="b">
        <f>BITWISE_XOR(BIN2DEC(G127),7)=BIN2DEC(G128)</f>
        <v>0</v>
      </c>
      <c r="K128" s="9">
        <f t="shared" si="18"/>
        <v>3</v>
      </c>
      <c r="L128" s="9" t="str">
        <f t="shared" ref="L128:L167" si="21">IF(K128=K127,IF(K127=0,H128,L127),IF(K128=1,H128,CONCATENATE(H128,L127)))</f>
        <v>101100</v>
      </c>
      <c r="M128" s="15" t="str">
        <f t="shared" si="19"/>
        <v/>
      </c>
      <c r="N128" t="str">
        <f t="shared" si="16"/>
        <v/>
      </c>
    </row>
    <row r="129" spans="4:14" x14ac:dyDescent="0.25">
      <c r="D129">
        <v>5</v>
      </c>
      <c r="E129" t="str">
        <f t="shared" si="20"/>
        <v>101</v>
      </c>
      <c r="G129" s="14" t="str">
        <f t="shared" si="17"/>
        <v>101</v>
      </c>
      <c r="H129" s="9" t="str">
        <f>IF(OR(G129=G128,BITWISE_XOR(G128,G129)=VALUE("111")),"",LEFT(G129,2))</f>
        <v/>
      </c>
      <c r="I129" s="9" t="str">
        <f>IF(OR(G129=G128,BITWISE_XOR(G128,G129)=VALUE("111")),"",RIGHT(G129,1))</f>
        <v/>
      </c>
      <c r="J129" s="9" t="b">
        <f>BITWISE_XOR(BIN2DEC(G128),7)=BIN2DEC(G129)</f>
        <v>0</v>
      </c>
      <c r="K129" s="9">
        <f t="shared" si="18"/>
        <v>3</v>
      </c>
      <c r="L129" s="9" t="str">
        <f t="shared" si="21"/>
        <v>101100</v>
      </c>
      <c r="M129" s="15" t="str">
        <f t="shared" si="19"/>
        <v/>
      </c>
      <c r="N129" t="str">
        <f t="shared" si="16"/>
        <v/>
      </c>
    </row>
    <row r="130" spans="4:14" x14ac:dyDescent="0.25">
      <c r="D130">
        <v>5</v>
      </c>
      <c r="E130" t="str">
        <f t="shared" si="20"/>
        <v>101</v>
      </c>
      <c r="G130" s="14" t="str">
        <f t="shared" si="17"/>
        <v>101</v>
      </c>
      <c r="H130" s="9" t="str">
        <f>IF(OR(G130=G129,BITWISE_XOR(G129,G130)=VALUE("111")),"",LEFT(G130,2))</f>
        <v/>
      </c>
      <c r="I130" s="9" t="str">
        <f>IF(OR(G130=G129,BITWISE_XOR(G129,G130)=VALUE("111")),"",RIGHT(G130,1))</f>
        <v/>
      </c>
      <c r="J130" s="9" t="b">
        <f>BITWISE_XOR(BIN2DEC(G129),7)=BIN2DEC(G130)</f>
        <v>0</v>
      </c>
      <c r="K130" s="9">
        <f t="shared" si="18"/>
        <v>3</v>
      </c>
      <c r="L130" s="9" t="str">
        <f t="shared" si="21"/>
        <v>101100</v>
      </c>
      <c r="M130" s="15" t="str">
        <f t="shared" si="19"/>
        <v/>
      </c>
      <c r="N130" t="str">
        <f t="shared" si="16"/>
        <v/>
      </c>
    </row>
    <row r="131" spans="4:14" x14ac:dyDescent="0.25">
      <c r="D131">
        <v>5</v>
      </c>
      <c r="E131" t="str">
        <f t="shared" si="20"/>
        <v>101</v>
      </c>
      <c r="G131" s="14" t="str">
        <f t="shared" si="17"/>
        <v>101</v>
      </c>
      <c r="H131" s="9" t="str">
        <f>IF(OR(G131=G130,BITWISE_XOR(G130,G131)=VALUE("111")),"",LEFT(G131,2))</f>
        <v/>
      </c>
      <c r="I131" s="9" t="str">
        <f>IF(OR(G131=G130,BITWISE_XOR(G130,G131)=VALUE("111")),"",RIGHT(G131,1))</f>
        <v/>
      </c>
      <c r="J131" s="9" t="b">
        <f>BITWISE_XOR(BIN2DEC(G130),7)=BIN2DEC(G131)</f>
        <v>0</v>
      </c>
      <c r="K131" s="9">
        <f t="shared" si="18"/>
        <v>3</v>
      </c>
      <c r="L131" s="9" t="str">
        <f t="shared" si="21"/>
        <v>101100</v>
      </c>
      <c r="M131" s="15" t="str">
        <f t="shared" si="19"/>
        <v/>
      </c>
      <c r="N131" t="str">
        <f t="shared" si="16"/>
        <v/>
      </c>
    </row>
    <row r="132" spans="4:14" x14ac:dyDescent="0.25">
      <c r="D132">
        <v>5</v>
      </c>
      <c r="E132" t="str">
        <f t="shared" si="20"/>
        <v>101</v>
      </c>
      <c r="G132" s="14" t="str">
        <f t="shared" si="17"/>
        <v>101</v>
      </c>
      <c r="H132" s="9" t="str">
        <f>IF(OR(G132=G131,BITWISE_XOR(G131,G132)=VALUE("111")),"",LEFT(G132,2))</f>
        <v/>
      </c>
      <c r="I132" s="9" t="str">
        <f>IF(OR(G132=G131,BITWISE_XOR(G131,G132)=VALUE("111")),"",RIGHT(G132,1))</f>
        <v/>
      </c>
      <c r="J132" s="9" t="b">
        <f>BITWISE_XOR(BIN2DEC(G131),7)=BIN2DEC(G132)</f>
        <v>0</v>
      </c>
      <c r="K132" s="9">
        <f t="shared" si="18"/>
        <v>3</v>
      </c>
      <c r="L132" s="9" t="str">
        <f t="shared" si="21"/>
        <v>101100</v>
      </c>
      <c r="M132" s="15" t="str">
        <f t="shared" si="19"/>
        <v/>
      </c>
      <c r="N132" t="str">
        <f t="shared" si="16"/>
        <v/>
      </c>
    </row>
    <row r="133" spans="4:14" x14ac:dyDescent="0.25">
      <c r="D133">
        <v>3</v>
      </c>
      <c r="E133" t="str">
        <f t="shared" si="20"/>
        <v>011</v>
      </c>
      <c r="G133" s="14" t="str">
        <f t="shared" si="17"/>
        <v>011</v>
      </c>
      <c r="H133" s="9" t="str">
        <f>IF(OR(G133=G132,BITWISE_XOR(G132,G133)=VALUE("111")),"",LEFT(G133,2))</f>
        <v>01</v>
      </c>
      <c r="I133" s="9" t="str">
        <f>IF(OR(G133=G132,BITWISE_XOR(G132,G133)=VALUE("111")),"",RIGHT(G133,1))</f>
        <v>1</v>
      </c>
      <c r="J133" s="9" t="b">
        <f>BITWISE_XOR(BIN2DEC(G132),7)=BIN2DEC(G133)</f>
        <v>0</v>
      </c>
      <c r="K133" s="9">
        <f t="shared" si="18"/>
        <v>0</v>
      </c>
      <c r="L133" s="9" t="str">
        <f t="shared" si="21"/>
        <v>01101100</v>
      </c>
      <c r="M133" s="15">
        <f t="shared" si="19"/>
        <v>108</v>
      </c>
      <c r="N133" t="str">
        <f t="shared" si="16"/>
        <v>l</v>
      </c>
    </row>
    <row r="134" spans="4:14" x14ac:dyDescent="0.25">
      <c r="D134">
        <v>3</v>
      </c>
      <c r="E134" t="str">
        <f t="shared" si="20"/>
        <v>011</v>
      </c>
      <c r="G134" s="14" t="str">
        <f t="shared" si="17"/>
        <v>011</v>
      </c>
      <c r="H134" s="9" t="str">
        <f>IF(OR(G134=G133,BITWISE_XOR(G133,G134)=VALUE("111")),"",LEFT(G134,2))</f>
        <v/>
      </c>
      <c r="I134" s="9" t="str">
        <f>IF(OR(G134=G133,BITWISE_XOR(G133,G134)=VALUE("111")),"",RIGHT(G134,1))</f>
        <v/>
      </c>
      <c r="J134" s="9" t="b">
        <f>BITWISE_XOR(BIN2DEC(G133),7)=BIN2DEC(G134)</f>
        <v>0</v>
      </c>
      <c r="K134" s="9">
        <f t="shared" si="18"/>
        <v>0</v>
      </c>
      <c r="L134" s="9" t="str">
        <f t="shared" si="21"/>
        <v/>
      </c>
      <c r="M134" s="15" t="str">
        <f t="shared" si="19"/>
        <v/>
      </c>
      <c r="N134" t="str">
        <f t="shared" si="16"/>
        <v/>
      </c>
    </row>
    <row r="135" spans="4:14" x14ac:dyDescent="0.25">
      <c r="D135">
        <v>3</v>
      </c>
      <c r="E135" t="str">
        <f t="shared" si="20"/>
        <v>011</v>
      </c>
      <c r="G135" s="14" t="str">
        <f t="shared" si="17"/>
        <v>011</v>
      </c>
      <c r="H135" s="9" t="str">
        <f>IF(OR(G135=G134,BITWISE_XOR(G134,G135)=VALUE("111")),"",LEFT(G135,2))</f>
        <v/>
      </c>
      <c r="I135" s="9" t="str">
        <f>IF(OR(G135=G134,BITWISE_XOR(G134,G135)=VALUE("111")),"",RIGHT(G135,1))</f>
        <v/>
      </c>
      <c r="J135" s="9" t="b">
        <f>BITWISE_XOR(BIN2DEC(G134),7)=BIN2DEC(G135)</f>
        <v>0</v>
      </c>
      <c r="K135" s="9">
        <f t="shared" si="18"/>
        <v>0</v>
      </c>
      <c r="L135" s="9" t="str">
        <f t="shared" si="21"/>
        <v/>
      </c>
      <c r="M135" s="15" t="str">
        <f t="shared" si="19"/>
        <v/>
      </c>
      <c r="N135" t="str">
        <f t="shared" si="16"/>
        <v/>
      </c>
    </row>
    <row r="136" spans="4:14" x14ac:dyDescent="0.25">
      <c r="D136">
        <v>3</v>
      </c>
      <c r="E136" t="str">
        <f t="shared" si="20"/>
        <v>011</v>
      </c>
      <c r="G136" s="14" t="str">
        <f t="shared" si="17"/>
        <v>011</v>
      </c>
      <c r="H136" s="9" t="str">
        <f>IF(OR(G136=G135,BITWISE_XOR(G135,G136)=VALUE("111")),"",LEFT(G136,2))</f>
        <v/>
      </c>
      <c r="I136" s="9" t="str">
        <f>IF(OR(G136=G135,BITWISE_XOR(G135,G136)=VALUE("111")),"",RIGHT(G136,1))</f>
        <v/>
      </c>
      <c r="J136" s="9" t="b">
        <f>BITWISE_XOR(BIN2DEC(G135),7)=BIN2DEC(G136)</f>
        <v>0</v>
      </c>
      <c r="K136" s="9">
        <f t="shared" si="18"/>
        <v>0</v>
      </c>
      <c r="L136" s="9" t="str">
        <f t="shared" si="21"/>
        <v/>
      </c>
      <c r="M136" s="15" t="str">
        <f t="shared" si="19"/>
        <v/>
      </c>
      <c r="N136" t="str">
        <f t="shared" si="16"/>
        <v/>
      </c>
    </row>
    <row r="137" spans="4:14" x14ac:dyDescent="0.25">
      <c r="D137">
        <v>3</v>
      </c>
      <c r="E137" t="str">
        <f t="shared" si="20"/>
        <v>011</v>
      </c>
      <c r="G137" s="14" t="str">
        <f t="shared" si="17"/>
        <v>011</v>
      </c>
      <c r="H137" s="9" t="str">
        <f>IF(OR(G137=G136,BITWISE_XOR(G136,G137)=VALUE("111")),"",LEFT(G137,2))</f>
        <v/>
      </c>
      <c r="I137" s="9" t="str">
        <f>IF(OR(G137=G136,BITWISE_XOR(G136,G137)=VALUE("111")),"",RIGHT(G137,1))</f>
        <v/>
      </c>
      <c r="J137" s="9" t="b">
        <f>BITWISE_XOR(BIN2DEC(G136),7)=BIN2DEC(G137)</f>
        <v>0</v>
      </c>
      <c r="K137" s="9">
        <f t="shared" si="18"/>
        <v>0</v>
      </c>
      <c r="L137" s="9" t="str">
        <f t="shared" si="21"/>
        <v/>
      </c>
      <c r="M137" s="15" t="str">
        <f t="shared" si="19"/>
        <v/>
      </c>
      <c r="N137" t="str">
        <f t="shared" si="16"/>
        <v/>
      </c>
    </row>
    <row r="138" spans="4:14" x14ac:dyDescent="0.25">
      <c r="D138">
        <v>3</v>
      </c>
      <c r="E138" t="str">
        <f t="shared" si="20"/>
        <v>011</v>
      </c>
      <c r="G138" s="14" t="str">
        <f t="shared" si="17"/>
        <v>011</v>
      </c>
      <c r="H138" s="9" t="str">
        <f>IF(OR(G138=G137,BITWISE_XOR(G137,G138)=VALUE("111")),"",LEFT(G138,2))</f>
        <v/>
      </c>
      <c r="I138" s="9" t="str">
        <f>IF(OR(G138=G137,BITWISE_XOR(G137,G138)=VALUE("111")),"",RIGHT(G138,1))</f>
        <v/>
      </c>
      <c r="J138" s="9" t="b">
        <f>BITWISE_XOR(BIN2DEC(G137),7)=BIN2DEC(G138)</f>
        <v>0</v>
      </c>
      <c r="K138" s="9">
        <f t="shared" si="18"/>
        <v>0</v>
      </c>
      <c r="L138" s="9" t="str">
        <f t="shared" si="21"/>
        <v/>
      </c>
      <c r="M138" s="15" t="str">
        <f t="shared" si="19"/>
        <v/>
      </c>
      <c r="N138" t="str">
        <f t="shared" si="16"/>
        <v/>
      </c>
    </row>
    <row r="139" spans="4:14" x14ac:dyDescent="0.25">
      <c r="D139">
        <v>3</v>
      </c>
      <c r="E139" t="str">
        <f t="shared" si="20"/>
        <v>011</v>
      </c>
      <c r="G139" s="14" t="str">
        <f t="shared" si="17"/>
        <v>011</v>
      </c>
      <c r="H139" s="9" t="str">
        <f>IF(OR(G139=G138,BITWISE_XOR(G138,G139)=VALUE("111")),"",LEFT(G139,2))</f>
        <v/>
      </c>
      <c r="I139" s="9" t="str">
        <f>IF(OR(G139=G138,BITWISE_XOR(G138,G139)=VALUE("111")),"",RIGHT(G139,1))</f>
        <v/>
      </c>
      <c r="J139" s="9" t="b">
        <f>BITWISE_XOR(BIN2DEC(G138),7)=BIN2DEC(G139)</f>
        <v>0</v>
      </c>
      <c r="K139" s="9">
        <f t="shared" si="18"/>
        <v>0</v>
      </c>
      <c r="L139" s="9" t="str">
        <f t="shared" si="21"/>
        <v/>
      </c>
      <c r="M139" s="15" t="str">
        <f t="shared" si="19"/>
        <v/>
      </c>
      <c r="N139" t="str">
        <f t="shared" si="16"/>
        <v/>
      </c>
    </row>
    <row r="140" spans="4:14" x14ac:dyDescent="0.25">
      <c r="D140">
        <v>1</v>
      </c>
      <c r="E140" t="str">
        <f t="shared" si="20"/>
        <v>001</v>
      </c>
      <c r="G140" s="14" t="str">
        <f t="shared" si="17"/>
        <v>001</v>
      </c>
      <c r="H140" s="9" t="str">
        <f>IF(OR(G140=G139,BITWISE_XOR(G139,G140)=VALUE("111")),"",LEFT(G140,2))</f>
        <v>00</v>
      </c>
      <c r="I140" s="9" t="str">
        <f>IF(OR(G140=G139,BITWISE_XOR(G139,G140)=VALUE("111")),"",RIGHT(G140,1))</f>
        <v>1</v>
      </c>
      <c r="J140" s="9" t="b">
        <f>BITWISE_XOR(BIN2DEC(G139),7)=BIN2DEC(G140)</f>
        <v>0</v>
      </c>
      <c r="K140" s="9">
        <f t="shared" si="18"/>
        <v>1</v>
      </c>
      <c r="L140" s="9" t="str">
        <f t="shared" si="21"/>
        <v>00</v>
      </c>
      <c r="M140" s="15" t="str">
        <f t="shared" si="19"/>
        <v/>
      </c>
      <c r="N140" t="str">
        <f t="shared" si="16"/>
        <v/>
      </c>
    </row>
    <row r="141" spans="4:14" x14ac:dyDescent="0.25">
      <c r="D141">
        <v>1</v>
      </c>
      <c r="E141" t="str">
        <f t="shared" si="20"/>
        <v>001</v>
      </c>
      <c r="G141" s="14" t="str">
        <f t="shared" si="17"/>
        <v>001</v>
      </c>
      <c r="H141" s="9" t="str">
        <f>IF(OR(G141=G140,BITWISE_XOR(G140,G141)=VALUE("111")),"",LEFT(G141,2))</f>
        <v/>
      </c>
      <c r="I141" s="9" t="str">
        <f>IF(OR(G141=G140,BITWISE_XOR(G140,G141)=VALUE("111")),"",RIGHT(G141,1))</f>
        <v/>
      </c>
      <c r="J141" s="9" t="b">
        <f>BITWISE_XOR(BIN2DEC(G140),7)=BIN2DEC(G141)</f>
        <v>0</v>
      </c>
      <c r="K141" s="9">
        <f t="shared" si="18"/>
        <v>1</v>
      </c>
      <c r="L141" s="9" t="str">
        <f t="shared" si="21"/>
        <v>00</v>
      </c>
      <c r="M141" s="15" t="str">
        <f t="shared" si="19"/>
        <v/>
      </c>
      <c r="N141" t="str">
        <f t="shared" si="16"/>
        <v/>
      </c>
    </row>
    <row r="142" spans="4:14" x14ac:dyDescent="0.25">
      <c r="D142">
        <v>1</v>
      </c>
      <c r="E142" t="str">
        <f t="shared" si="20"/>
        <v>001</v>
      </c>
      <c r="G142" s="14" t="str">
        <f t="shared" si="17"/>
        <v>001</v>
      </c>
      <c r="H142" s="9" t="str">
        <f>IF(OR(G142=G141,BITWISE_XOR(G141,G142)=VALUE("111")),"",LEFT(G142,2))</f>
        <v/>
      </c>
      <c r="I142" s="9" t="str">
        <f>IF(OR(G142=G141,BITWISE_XOR(G141,G142)=VALUE("111")),"",RIGHT(G142,1))</f>
        <v/>
      </c>
      <c r="J142" s="9" t="b">
        <f>BITWISE_XOR(BIN2DEC(G141),7)=BIN2DEC(G142)</f>
        <v>0</v>
      </c>
      <c r="K142" s="9">
        <f t="shared" si="18"/>
        <v>1</v>
      </c>
      <c r="L142" s="9" t="str">
        <f t="shared" si="21"/>
        <v>00</v>
      </c>
      <c r="M142" s="15" t="str">
        <f t="shared" si="19"/>
        <v/>
      </c>
      <c r="N142" t="str">
        <f t="shared" si="16"/>
        <v/>
      </c>
    </row>
    <row r="143" spans="4:14" x14ac:dyDescent="0.25">
      <c r="D143">
        <v>1</v>
      </c>
      <c r="E143" t="str">
        <f t="shared" si="20"/>
        <v>001</v>
      </c>
      <c r="G143" s="14" t="str">
        <f t="shared" si="17"/>
        <v>001</v>
      </c>
      <c r="H143" s="9" t="str">
        <f>IF(OR(G143=G142,BITWISE_XOR(G142,G143)=VALUE("111")),"",LEFT(G143,2))</f>
        <v/>
      </c>
      <c r="I143" s="9" t="str">
        <f>IF(OR(G143=G142,BITWISE_XOR(G142,G143)=VALUE("111")),"",RIGHT(G143,1))</f>
        <v/>
      </c>
      <c r="J143" s="9" t="b">
        <f>BITWISE_XOR(BIN2DEC(G142),7)=BIN2DEC(G143)</f>
        <v>0</v>
      </c>
      <c r="K143" s="9">
        <f t="shared" si="18"/>
        <v>1</v>
      </c>
      <c r="L143" s="9" t="str">
        <f t="shared" si="21"/>
        <v>00</v>
      </c>
      <c r="M143" s="15" t="str">
        <f t="shared" si="19"/>
        <v/>
      </c>
      <c r="N143" t="str">
        <f t="shared" si="16"/>
        <v/>
      </c>
    </row>
    <row r="144" spans="4:14" x14ac:dyDescent="0.25">
      <c r="D144">
        <v>1</v>
      </c>
      <c r="E144" t="str">
        <f t="shared" si="20"/>
        <v>001</v>
      </c>
      <c r="G144" s="14" t="str">
        <f t="shared" si="17"/>
        <v>001</v>
      </c>
      <c r="H144" s="9" t="str">
        <f>IF(OR(G144=G143,BITWISE_XOR(G143,G144)=VALUE("111")),"",LEFT(G144,2))</f>
        <v/>
      </c>
      <c r="I144" s="9" t="str">
        <f>IF(OR(G144=G143,BITWISE_XOR(G143,G144)=VALUE("111")),"",RIGHT(G144,1))</f>
        <v/>
      </c>
      <c r="J144" s="9" t="b">
        <f>BITWISE_XOR(BIN2DEC(G143),7)=BIN2DEC(G144)</f>
        <v>0</v>
      </c>
      <c r="K144" s="9">
        <f t="shared" si="18"/>
        <v>1</v>
      </c>
      <c r="L144" s="9" t="str">
        <f t="shared" si="21"/>
        <v>00</v>
      </c>
      <c r="M144" s="15" t="str">
        <f t="shared" si="19"/>
        <v/>
      </c>
      <c r="N144" t="str">
        <f t="shared" si="16"/>
        <v/>
      </c>
    </row>
    <row r="145" spans="4:14" x14ac:dyDescent="0.25">
      <c r="D145">
        <v>1</v>
      </c>
      <c r="E145" t="str">
        <f t="shared" si="20"/>
        <v>001</v>
      </c>
      <c r="G145" s="14" t="str">
        <f t="shared" si="17"/>
        <v>001</v>
      </c>
      <c r="H145" s="9" t="str">
        <f>IF(OR(G145=G144,BITWISE_XOR(G144,G145)=VALUE("111")),"",LEFT(G145,2))</f>
        <v/>
      </c>
      <c r="I145" s="9" t="str">
        <f>IF(OR(G145=G144,BITWISE_XOR(G144,G145)=VALUE("111")),"",RIGHT(G145,1))</f>
        <v/>
      </c>
      <c r="J145" s="9" t="b">
        <f>BITWISE_XOR(BIN2DEC(G144),7)=BIN2DEC(G145)</f>
        <v>0</v>
      </c>
      <c r="K145" s="9">
        <f t="shared" si="18"/>
        <v>1</v>
      </c>
      <c r="L145" s="9" t="str">
        <f t="shared" si="21"/>
        <v>00</v>
      </c>
      <c r="M145" s="15" t="str">
        <f t="shared" si="19"/>
        <v/>
      </c>
      <c r="N145" t="str">
        <f t="shared" si="16"/>
        <v/>
      </c>
    </row>
    <row r="146" spans="4:14" x14ac:dyDescent="0.25">
      <c r="D146">
        <v>1</v>
      </c>
      <c r="E146" t="str">
        <f t="shared" si="20"/>
        <v>001</v>
      </c>
      <c r="G146" s="14" t="str">
        <f t="shared" si="17"/>
        <v>001</v>
      </c>
      <c r="H146" s="9" t="str">
        <f>IF(OR(G146=G145,BITWISE_XOR(G145,G146)=VALUE("111")),"",LEFT(G146,2))</f>
        <v/>
      </c>
      <c r="I146" s="9" t="str">
        <f>IF(OR(G146=G145,BITWISE_XOR(G145,G146)=VALUE("111")),"",RIGHT(G146,1))</f>
        <v/>
      </c>
      <c r="J146" s="9" t="b">
        <f>BITWISE_XOR(BIN2DEC(G145),7)=BIN2DEC(G146)</f>
        <v>0</v>
      </c>
      <c r="K146" s="9">
        <f t="shared" si="18"/>
        <v>1</v>
      </c>
      <c r="L146" s="9" t="str">
        <f t="shared" si="21"/>
        <v>00</v>
      </c>
      <c r="M146" s="15" t="str">
        <f t="shared" si="19"/>
        <v/>
      </c>
      <c r="N146" t="str">
        <f t="shared" si="16"/>
        <v/>
      </c>
    </row>
    <row r="147" spans="4:14" x14ac:dyDescent="0.25">
      <c r="D147">
        <v>7</v>
      </c>
      <c r="E147" t="str">
        <f t="shared" si="20"/>
        <v>111</v>
      </c>
      <c r="G147" s="14" t="str">
        <f t="shared" si="17"/>
        <v>111</v>
      </c>
      <c r="H147" s="9" t="str">
        <f>IF(OR(G147=G146,BITWISE_XOR(G146,G147)=VALUE("111")),"",LEFT(G147,2))</f>
        <v>11</v>
      </c>
      <c r="I147" s="9" t="str">
        <f>IF(OR(G147=G146,BITWISE_XOR(G146,G147)=VALUE("111")),"",RIGHT(G147,1))</f>
        <v>1</v>
      </c>
      <c r="J147" s="9" t="b">
        <f>BITWISE_XOR(BIN2DEC(G146),7)=BIN2DEC(G147)</f>
        <v>0</v>
      </c>
      <c r="K147" s="9">
        <f t="shared" si="18"/>
        <v>2</v>
      </c>
      <c r="L147" s="9" t="str">
        <f t="shared" si="21"/>
        <v>1100</v>
      </c>
      <c r="M147" s="15" t="str">
        <f t="shared" si="19"/>
        <v/>
      </c>
      <c r="N147" t="str">
        <f t="shared" si="16"/>
        <v/>
      </c>
    </row>
    <row r="148" spans="4:14" x14ac:dyDescent="0.25">
      <c r="D148">
        <v>7</v>
      </c>
      <c r="E148" t="str">
        <f t="shared" si="20"/>
        <v>111</v>
      </c>
      <c r="G148" s="14" t="str">
        <f t="shared" si="17"/>
        <v>111</v>
      </c>
      <c r="H148" s="9" t="str">
        <f>IF(OR(G148=G147,BITWISE_XOR(G147,G148)=VALUE("111")),"",LEFT(G148,2))</f>
        <v/>
      </c>
      <c r="I148" s="9" t="str">
        <f>IF(OR(G148=G147,BITWISE_XOR(G147,G148)=VALUE("111")),"",RIGHT(G148,1))</f>
        <v/>
      </c>
      <c r="J148" s="9" t="b">
        <f>BITWISE_XOR(BIN2DEC(G147),7)=BIN2DEC(G148)</f>
        <v>0</v>
      </c>
      <c r="K148" s="9">
        <f t="shared" si="18"/>
        <v>2</v>
      </c>
      <c r="L148" s="9" t="str">
        <f t="shared" si="21"/>
        <v>1100</v>
      </c>
      <c r="M148" s="15" t="str">
        <f t="shared" si="19"/>
        <v/>
      </c>
      <c r="N148" t="str">
        <f t="shared" si="16"/>
        <v/>
      </c>
    </row>
    <row r="149" spans="4:14" x14ac:dyDescent="0.25">
      <c r="D149">
        <v>7</v>
      </c>
      <c r="E149" t="str">
        <f t="shared" si="20"/>
        <v>111</v>
      </c>
      <c r="G149" s="14" t="str">
        <f t="shared" si="17"/>
        <v>111</v>
      </c>
      <c r="H149" s="9" t="str">
        <f>IF(OR(G149=G148,BITWISE_XOR(G148,G149)=VALUE("111")),"",LEFT(G149,2))</f>
        <v/>
      </c>
      <c r="I149" s="9" t="str">
        <f>IF(OR(G149=G148,BITWISE_XOR(G148,G149)=VALUE("111")),"",RIGHT(G149,1))</f>
        <v/>
      </c>
      <c r="J149" s="9" t="b">
        <f>BITWISE_XOR(BIN2DEC(G148),7)=BIN2DEC(G149)</f>
        <v>0</v>
      </c>
      <c r="K149" s="9">
        <f t="shared" si="18"/>
        <v>2</v>
      </c>
      <c r="L149" s="9" t="str">
        <f t="shared" si="21"/>
        <v>1100</v>
      </c>
      <c r="M149" s="15" t="str">
        <f t="shared" si="19"/>
        <v/>
      </c>
      <c r="N149" t="str">
        <f t="shared" si="16"/>
        <v/>
      </c>
    </row>
    <row r="150" spans="4:14" x14ac:dyDescent="0.25">
      <c r="D150">
        <v>7</v>
      </c>
      <c r="E150" t="str">
        <f t="shared" si="20"/>
        <v>111</v>
      </c>
      <c r="G150" s="14" t="str">
        <f t="shared" si="17"/>
        <v>111</v>
      </c>
      <c r="H150" s="9" t="str">
        <f>IF(OR(G150=G149,BITWISE_XOR(G149,G150)=VALUE("111")),"",LEFT(G150,2))</f>
        <v/>
      </c>
      <c r="I150" s="9" t="str">
        <f>IF(OR(G150=G149,BITWISE_XOR(G149,G150)=VALUE("111")),"",RIGHT(G150,1))</f>
        <v/>
      </c>
      <c r="J150" s="9" t="b">
        <f>BITWISE_XOR(BIN2DEC(G149),7)=BIN2DEC(G150)</f>
        <v>0</v>
      </c>
      <c r="K150" s="9">
        <f t="shared" si="18"/>
        <v>2</v>
      </c>
      <c r="L150" s="9" t="str">
        <f t="shared" si="21"/>
        <v>1100</v>
      </c>
      <c r="M150" s="15" t="str">
        <f t="shared" si="19"/>
        <v/>
      </c>
      <c r="N150" t="str">
        <f t="shared" si="16"/>
        <v/>
      </c>
    </row>
    <row r="151" spans="4:14" x14ac:dyDescent="0.25">
      <c r="D151">
        <v>7</v>
      </c>
      <c r="E151" t="str">
        <f t="shared" si="20"/>
        <v>111</v>
      </c>
      <c r="G151" s="14" t="str">
        <f t="shared" si="17"/>
        <v>111</v>
      </c>
      <c r="H151" s="9" t="str">
        <f>IF(OR(G151=G150,BITWISE_XOR(G150,G151)=VALUE("111")),"",LEFT(G151,2))</f>
        <v/>
      </c>
      <c r="I151" s="9" t="str">
        <f>IF(OR(G151=G150,BITWISE_XOR(G150,G151)=VALUE("111")),"",RIGHT(G151,1))</f>
        <v/>
      </c>
      <c r="J151" s="9" t="b">
        <f>BITWISE_XOR(BIN2DEC(G150),7)=BIN2DEC(G151)</f>
        <v>0</v>
      </c>
      <c r="K151" s="9">
        <f t="shared" si="18"/>
        <v>2</v>
      </c>
      <c r="L151" s="9" t="str">
        <f t="shared" si="21"/>
        <v>1100</v>
      </c>
      <c r="M151" s="15" t="str">
        <f t="shared" si="19"/>
        <v/>
      </c>
      <c r="N151" t="str">
        <f t="shared" si="16"/>
        <v/>
      </c>
    </row>
    <row r="152" spans="4:14" x14ac:dyDescent="0.25">
      <c r="D152">
        <v>7</v>
      </c>
      <c r="E152" t="str">
        <f t="shared" si="20"/>
        <v>111</v>
      </c>
      <c r="G152" s="14" t="str">
        <f t="shared" si="17"/>
        <v>111</v>
      </c>
      <c r="H152" s="9" t="str">
        <f>IF(OR(G152=G151,BITWISE_XOR(G151,G152)=VALUE("111")),"",LEFT(G152,2))</f>
        <v/>
      </c>
      <c r="I152" s="9" t="str">
        <f>IF(OR(G152=G151,BITWISE_XOR(G151,G152)=VALUE("111")),"",RIGHT(G152,1))</f>
        <v/>
      </c>
      <c r="J152" s="9" t="b">
        <f>BITWISE_XOR(BIN2DEC(G151),7)=BIN2DEC(G152)</f>
        <v>0</v>
      </c>
      <c r="K152" s="9">
        <f t="shared" si="18"/>
        <v>2</v>
      </c>
      <c r="L152" s="9" t="str">
        <f t="shared" si="21"/>
        <v>1100</v>
      </c>
      <c r="M152" s="15" t="str">
        <f t="shared" si="19"/>
        <v/>
      </c>
      <c r="N152" t="str">
        <f t="shared" si="16"/>
        <v/>
      </c>
    </row>
    <row r="153" spans="4:14" x14ac:dyDescent="0.25">
      <c r="D153">
        <v>7</v>
      </c>
      <c r="E153" t="str">
        <f t="shared" si="20"/>
        <v>111</v>
      </c>
      <c r="G153" s="14" t="str">
        <f t="shared" si="17"/>
        <v>111</v>
      </c>
      <c r="H153" s="9" t="str">
        <f>IF(OR(G153=G152,BITWISE_XOR(G152,G153)=VALUE("111")),"",LEFT(G153,2))</f>
        <v/>
      </c>
      <c r="I153" s="9" t="str">
        <f>IF(OR(G153=G152,BITWISE_XOR(G152,G153)=VALUE("111")),"",RIGHT(G153,1))</f>
        <v/>
      </c>
      <c r="J153" s="9" t="b">
        <f>BITWISE_XOR(BIN2DEC(G152),7)=BIN2DEC(G153)</f>
        <v>0</v>
      </c>
      <c r="K153" s="9">
        <f t="shared" si="18"/>
        <v>2</v>
      </c>
      <c r="L153" s="9" t="str">
        <f t="shared" si="21"/>
        <v>1100</v>
      </c>
      <c r="M153" s="15" t="str">
        <f t="shared" si="19"/>
        <v/>
      </c>
      <c r="N153" t="str">
        <f t="shared" si="16"/>
        <v/>
      </c>
    </row>
    <row r="154" spans="4:14" x14ac:dyDescent="0.25">
      <c r="D154">
        <v>5</v>
      </c>
      <c r="E154" t="str">
        <f t="shared" si="20"/>
        <v>101</v>
      </c>
      <c r="G154" s="14" t="str">
        <f t="shared" si="17"/>
        <v>101</v>
      </c>
      <c r="H154" s="9" t="str">
        <f>IF(OR(G154=G153,BITWISE_XOR(G153,G154)=VALUE("111")),"",LEFT(G154,2))</f>
        <v>10</v>
      </c>
      <c r="I154" s="9" t="str">
        <f>IF(OR(G154=G153,BITWISE_XOR(G153,G154)=VALUE("111")),"",RIGHT(G154,1))</f>
        <v>1</v>
      </c>
      <c r="J154" s="9" t="b">
        <f>BITWISE_XOR(BIN2DEC(G153),7)=BIN2DEC(G154)</f>
        <v>0</v>
      </c>
      <c r="K154" s="9">
        <f t="shared" si="18"/>
        <v>3</v>
      </c>
      <c r="L154" s="9" t="str">
        <f t="shared" si="21"/>
        <v>101100</v>
      </c>
      <c r="M154" s="15" t="str">
        <f t="shared" si="19"/>
        <v/>
      </c>
      <c r="N154" t="str">
        <f t="shared" si="16"/>
        <v/>
      </c>
    </row>
    <row r="155" spans="4:14" x14ac:dyDescent="0.25">
      <c r="D155">
        <v>5</v>
      </c>
      <c r="E155" t="str">
        <f t="shared" si="20"/>
        <v>101</v>
      </c>
      <c r="G155" s="14" t="str">
        <f t="shared" si="17"/>
        <v>101</v>
      </c>
      <c r="H155" s="9" t="str">
        <f>IF(OR(G155=G154,BITWISE_XOR(G154,G155)=VALUE("111")),"",LEFT(G155,2))</f>
        <v/>
      </c>
      <c r="I155" s="9" t="str">
        <f>IF(OR(G155=G154,BITWISE_XOR(G154,G155)=VALUE("111")),"",RIGHT(G155,1))</f>
        <v/>
      </c>
      <c r="J155" s="9" t="b">
        <f>BITWISE_XOR(BIN2DEC(G154),7)=BIN2DEC(G155)</f>
        <v>0</v>
      </c>
      <c r="K155" s="9">
        <f t="shared" si="18"/>
        <v>3</v>
      </c>
      <c r="L155" s="9" t="str">
        <f t="shared" si="21"/>
        <v>101100</v>
      </c>
      <c r="M155" s="15" t="str">
        <f t="shared" si="19"/>
        <v/>
      </c>
      <c r="N155" t="str">
        <f t="shared" si="16"/>
        <v/>
      </c>
    </row>
    <row r="156" spans="4:14" x14ac:dyDescent="0.25">
      <c r="D156">
        <v>5</v>
      </c>
      <c r="E156" t="str">
        <f t="shared" si="20"/>
        <v>101</v>
      </c>
      <c r="G156" s="14" t="str">
        <f t="shared" si="17"/>
        <v>101</v>
      </c>
      <c r="H156" s="9" t="str">
        <f>IF(OR(G156=G155,BITWISE_XOR(G155,G156)=VALUE("111")),"",LEFT(G156,2))</f>
        <v/>
      </c>
      <c r="I156" s="9" t="str">
        <f>IF(OR(G156=G155,BITWISE_XOR(G155,G156)=VALUE("111")),"",RIGHT(G156,1))</f>
        <v/>
      </c>
      <c r="J156" s="9" t="b">
        <f>BITWISE_XOR(BIN2DEC(G155),7)=BIN2DEC(G156)</f>
        <v>0</v>
      </c>
      <c r="K156" s="9">
        <f t="shared" si="18"/>
        <v>3</v>
      </c>
      <c r="L156" s="9" t="str">
        <f t="shared" si="21"/>
        <v>101100</v>
      </c>
      <c r="M156" s="15" t="str">
        <f t="shared" si="19"/>
        <v/>
      </c>
      <c r="N156" t="str">
        <f t="shared" si="16"/>
        <v/>
      </c>
    </row>
    <row r="157" spans="4:14" x14ac:dyDescent="0.25">
      <c r="D157">
        <v>5</v>
      </c>
      <c r="E157" t="str">
        <f t="shared" si="20"/>
        <v>101</v>
      </c>
      <c r="G157" s="14" t="str">
        <f t="shared" si="17"/>
        <v>101</v>
      </c>
      <c r="H157" s="9" t="str">
        <f>IF(OR(G157=G156,BITWISE_XOR(G156,G157)=VALUE("111")),"",LEFT(G157,2))</f>
        <v/>
      </c>
      <c r="I157" s="9" t="str">
        <f>IF(OR(G157=G156,BITWISE_XOR(G156,G157)=VALUE("111")),"",RIGHT(G157,1))</f>
        <v/>
      </c>
      <c r="J157" s="9" t="b">
        <f>BITWISE_XOR(BIN2DEC(G156),7)=BIN2DEC(G157)</f>
        <v>0</v>
      </c>
      <c r="K157" s="9">
        <f t="shared" si="18"/>
        <v>3</v>
      </c>
      <c r="L157" s="9" t="str">
        <f t="shared" si="21"/>
        <v>101100</v>
      </c>
      <c r="M157" s="15" t="str">
        <f t="shared" si="19"/>
        <v/>
      </c>
      <c r="N157" t="str">
        <f t="shared" si="16"/>
        <v/>
      </c>
    </row>
    <row r="158" spans="4:14" x14ac:dyDescent="0.25">
      <c r="D158">
        <v>5</v>
      </c>
      <c r="E158" t="str">
        <f t="shared" si="20"/>
        <v>101</v>
      </c>
      <c r="G158" s="14" t="str">
        <f t="shared" si="17"/>
        <v>101</v>
      </c>
      <c r="H158" s="9" t="str">
        <f>IF(OR(G158=G157,BITWISE_XOR(G157,G158)=VALUE("111")),"",LEFT(G158,2))</f>
        <v/>
      </c>
      <c r="I158" s="9" t="str">
        <f>IF(OR(G158=G157,BITWISE_XOR(G157,G158)=VALUE("111")),"",RIGHT(G158,1))</f>
        <v/>
      </c>
      <c r="J158" s="9" t="b">
        <f>BITWISE_XOR(BIN2DEC(G157),7)=BIN2DEC(G158)</f>
        <v>0</v>
      </c>
      <c r="K158" s="9">
        <f t="shared" si="18"/>
        <v>3</v>
      </c>
      <c r="L158" s="9" t="str">
        <f t="shared" si="21"/>
        <v>101100</v>
      </c>
      <c r="M158" s="15" t="str">
        <f t="shared" si="19"/>
        <v/>
      </c>
      <c r="N158" t="str">
        <f t="shared" si="16"/>
        <v/>
      </c>
    </row>
    <row r="159" spans="4:14" x14ac:dyDescent="0.25">
      <c r="D159">
        <v>5</v>
      </c>
      <c r="E159" t="str">
        <f t="shared" si="20"/>
        <v>101</v>
      </c>
      <c r="G159" s="14" t="str">
        <f t="shared" si="17"/>
        <v>101</v>
      </c>
      <c r="H159" s="9" t="str">
        <f>IF(OR(G159=G158,BITWISE_XOR(G158,G159)=VALUE("111")),"",LEFT(G159,2))</f>
        <v/>
      </c>
      <c r="I159" s="9" t="str">
        <f>IF(OR(G159=G158,BITWISE_XOR(G158,G159)=VALUE("111")),"",RIGHT(G159,1))</f>
        <v/>
      </c>
      <c r="J159" s="9" t="b">
        <f>BITWISE_XOR(BIN2DEC(G158),7)=BIN2DEC(G159)</f>
        <v>0</v>
      </c>
      <c r="K159" s="9">
        <f t="shared" si="18"/>
        <v>3</v>
      </c>
      <c r="L159" s="9" t="str">
        <f t="shared" si="21"/>
        <v>101100</v>
      </c>
      <c r="M159" s="15" t="str">
        <f t="shared" si="19"/>
        <v/>
      </c>
      <c r="N159" t="str">
        <f t="shared" si="16"/>
        <v/>
      </c>
    </row>
    <row r="160" spans="4:14" x14ac:dyDescent="0.25">
      <c r="D160">
        <v>5</v>
      </c>
      <c r="E160" t="str">
        <f t="shared" si="20"/>
        <v>101</v>
      </c>
      <c r="G160" s="14" t="str">
        <f t="shared" si="17"/>
        <v>101</v>
      </c>
      <c r="H160" s="9" t="str">
        <f>IF(OR(G160=G159,BITWISE_XOR(G159,G160)=VALUE("111")),"",LEFT(G160,2))</f>
        <v/>
      </c>
      <c r="I160" s="9" t="str">
        <f>IF(OR(G160=G159,BITWISE_XOR(G159,G160)=VALUE("111")),"",RIGHT(G160,1))</f>
        <v/>
      </c>
      <c r="J160" s="9" t="b">
        <f>BITWISE_XOR(BIN2DEC(G159),7)=BIN2DEC(G160)</f>
        <v>0</v>
      </c>
      <c r="K160" s="9">
        <f t="shared" si="18"/>
        <v>3</v>
      </c>
      <c r="L160" s="9" t="str">
        <f t="shared" si="21"/>
        <v>101100</v>
      </c>
      <c r="M160" s="15" t="str">
        <f t="shared" si="19"/>
        <v/>
      </c>
      <c r="N160" t="str">
        <f t="shared" ref="N160:N223" si="22">IF(M160&lt;&gt;"",CHAR(M160),"")</f>
        <v/>
      </c>
    </row>
    <row r="161" spans="4:14" x14ac:dyDescent="0.25">
      <c r="D161">
        <v>3</v>
      </c>
      <c r="E161" t="str">
        <f t="shared" si="20"/>
        <v>011</v>
      </c>
      <c r="G161" s="14" t="str">
        <f t="shared" si="17"/>
        <v>011</v>
      </c>
      <c r="H161" s="9" t="str">
        <f>IF(OR(G161=G160,BITWISE_XOR(G160,G161)=VALUE("111")),"",LEFT(G161,2))</f>
        <v>01</v>
      </c>
      <c r="I161" s="9" t="str">
        <f>IF(OR(G161=G160,BITWISE_XOR(G160,G161)=VALUE("111")),"",RIGHT(G161,1))</f>
        <v>1</v>
      </c>
      <c r="J161" s="9" t="b">
        <f>BITWISE_XOR(BIN2DEC(G160),7)=BIN2DEC(G161)</f>
        <v>0</v>
      </c>
      <c r="K161" s="9">
        <f t="shared" si="18"/>
        <v>0</v>
      </c>
      <c r="L161" s="9" t="str">
        <f t="shared" si="21"/>
        <v>01101100</v>
      </c>
      <c r="M161" s="15">
        <f t="shared" si="19"/>
        <v>108</v>
      </c>
      <c r="N161" t="str">
        <f t="shared" si="22"/>
        <v>l</v>
      </c>
    </row>
    <row r="162" spans="4:14" x14ac:dyDescent="0.25">
      <c r="D162">
        <v>3</v>
      </c>
      <c r="E162" t="str">
        <f t="shared" si="20"/>
        <v>011</v>
      </c>
      <c r="G162" s="14" t="str">
        <f t="shared" si="17"/>
        <v>011</v>
      </c>
      <c r="H162" s="9" t="str">
        <f>IF(OR(G162=G161,BITWISE_XOR(G161,G162)=VALUE("111")),"",LEFT(G162,2))</f>
        <v/>
      </c>
      <c r="I162" s="9" t="str">
        <f>IF(OR(G162=G161,BITWISE_XOR(G161,G162)=VALUE("111")),"",RIGHT(G162,1))</f>
        <v/>
      </c>
      <c r="J162" s="9" t="b">
        <f>BITWISE_XOR(BIN2DEC(G161),7)=BIN2DEC(G162)</f>
        <v>0</v>
      </c>
      <c r="K162" s="9">
        <f t="shared" si="18"/>
        <v>0</v>
      </c>
      <c r="L162" s="9" t="str">
        <f t="shared" si="21"/>
        <v/>
      </c>
      <c r="M162" s="15" t="str">
        <f t="shared" si="19"/>
        <v/>
      </c>
      <c r="N162" t="str">
        <f t="shared" si="22"/>
        <v/>
      </c>
    </row>
    <row r="163" spans="4:14" x14ac:dyDescent="0.25">
      <c r="D163">
        <v>3</v>
      </c>
      <c r="E163" t="str">
        <f t="shared" si="20"/>
        <v>011</v>
      </c>
      <c r="G163" s="14" t="str">
        <f t="shared" ref="G163:G167" si="23">E163</f>
        <v>011</v>
      </c>
      <c r="H163" s="9" t="str">
        <f>IF(OR(G163=G162,BITWISE_XOR(G162,G163)=VALUE("111")),"",LEFT(G163,2))</f>
        <v/>
      </c>
      <c r="I163" s="9" t="str">
        <f>IF(OR(G163=G162,BITWISE_XOR(G162,G163)=VALUE("111")),"",RIGHT(G163,1))</f>
        <v/>
      </c>
      <c r="J163" s="9" t="b">
        <f>BITWISE_XOR(BIN2DEC(G162),7)=BIN2DEC(G163)</f>
        <v>0</v>
      </c>
      <c r="K163" s="9">
        <f t="shared" ref="K163:K167" si="24">IF(J163=TRUE,0,(IF((H163=""),K162,MOD((K162+1),4))))</f>
        <v>0</v>
      </c>
      <c r="L163" s="9" t="str">
        <f t="shared" si="21"/>
        <v/>
      </c>
      <c r="M163" s="15" t="str">
        <f t="shared" ref="M163:M167" si="25">IF(AND(K163=0,K162=3),BIN2DEC(L163),"")</f>
        <v/>
      </c>
      <c r="N163" t="str">
        <f t="shared" si="22"/>
        <v/>
      </c>
    </row>
    <row r="164" spans="4:14" x14ac:dyDescent="0.25">
      <c r="D164">
        <v>3</v>
      </c>
      <c r="E164" t="str">
        <f t="shared" si="20"/>
        <v>011</v>
      </c>
      <c r="G164" s="14" t="str">
        <f t="shared" si="23"/>
        <v>011</v>
      </c>
      <c r="H164" s="9" t="str">
        <f>IF(OR(G164=G163,BITWISE_XOR(G163,G164)=VALUE("111")),"",LEFT(G164,2))</f>
        <v/>
      </c>
      <c r="I164" s="9" t="str">
        <f>IF(OR(G164=G163,BITWISE_XOR(G163,G164)=VALUE("111")),"",RIGHT(G164,1))</f>
        <v/>
      </c>
      <c r="J164" s="9" t="b">
        <f>BITWISE_XOR(BIN2DEC(G163),7)=BIN2DEC(G164)</f>
        <v>0</v>
      </c>
      <c r="K164" s="9">
        <f t="shared" si="24"/>
        <v>0</v>
      </c>
      <c r="L164" s="9" t="str">
        <f t="shared" si="21"/>
        <v/>
      </c>
      <c r="M164" s="15" t="str">
        <f t="shared" si="25"/>
        <v/>
      </c>
      <c r="N164" t="str">
        <f t="shared" si="22"/>
        <v/>
      </c>
    </row>
    <row r="165" spans="4:14" x14ac:dyDescent="0.25">
      <c r="D165">
        <v>3</v>
      </c>
      <c r="E165" t="str">
        <f t="shared" si="20"/>
        <v>011</v>
      </c>
      <c r="G165" s="14" t="str">
        <f t="shared" si="23"/>
        <v>011</v>
      </c>
      <c r="H165" s="9" t="str">
        <f>IF(OR(G165=G164,BITWISE_XOR(G164,G165)=VALUE("111")),"",LEFT(G165,2))</f>
        <v/>
      </c>
      <c r="I165" s="9" t="str">
        <f>IF(OR(G165=G164,BITWISE_XOR(G164,G165)=VALUE("111")),"",RIGHT(G165,1))</f>
        <v/>
      </c>
      <c r="J165" s="9" t="b">
        <f>BITWISE_XOR(BIN2DEC(G164),7)=BIN2DEC(G165)</f>
        <v>0</v>
      </c>
      <c r="K165" s="9">
        <f t="shared" si="24"/>
        <v>0</v>
      </c>
      <c r="L165" s="9" t="str">
        <f t="shared" si="21"/>
        <v/>
      </c>
      <c r="M165" s="15" t="str">
        <f t="shared" si="25"/>
        <v/>
      </c>
      <c r="N165" t="str">
        <f t="shared" si="22"/>
        <v/>
      </c>
    </row>
    <row r="166" spans="4:14" x14ac:dyDescent="0.25">
      <c r="D166">
        <v>3</v>
      </c>
      <c r="E166" t="str">
        <f t="shared" si="20"/>
        <v>011</v>
      </c>
      <c r="G166" s="14" t="str">
        <f t="shared" si="23"/>
        <v>011</v>
      </c>
      <c r="H166" s="9" t="str">
        <f>IF(OR(G166=G165,BITWISE_XOR(G165,G166)=VALUE("111")),"",LEFT(G166,2))</f>
        <v/>
      </c>
      <c r="I166" s="9" t="str">
        <f>IF(OR(G166=G165,BITWISE_XOR(G165,G166)=VALUE("111")),"",RIGHT(G166,1))</f>
        <v/>
      </c>
      <c r="J166" s="9" t="b">
        <f>BITWISE_XOR(BIN2DEC(G165),7)=BIN2DEC(G166)</f>
        <v>0</v>
      </c>
      <c r="K166" s="9">
        <f t="shared" si="24"/>
        <v>0</v>
      </c>
      <c r="L166" s="9" t="str">
        <f t="shared" si="21"/>
        <v/>
      </c>
      <c r="M166" s="15" t="str">
        <f t="shared" si="25"/>
        <v/>
      </c>
      <c r="N166" t="str">
        <f t="shared" si="22"/>
        <v/>
      </c>
    </row>
    <row r="167" spans="4:14" x14ac:dyDescent="0.25">
      <c r="D167">
        <v>3</v>
      </c>
      <c r="E167" t="str">
        <f t="shared" si="20"/>
        <v>011</v>
      </c>
      <c r="G167" s="14" t="str">
        <f t="shared" si="23"/>
        <v>011</v>
      </c>
      <c r="H167" s="9" t="str">
        <f>IF(OR(G167=G166,BITWISE_XOR(G166,G167)=VALUE("111")),"",LEFT(G167,2))</f>
        <v/>
      </c>
      <c r="I167" s="9" t="str">
        <f>IF(OR(G167=G166,BITWISE_XOR(G166,G167)=VALUE("111")),"",RIGHT(G167,1))</f>
        <v/>
      </c>
      <c r="J167" s="9" t="b">
        <f>BITWISE_XOR(BIN2DEC(G166),7)=BIN2DEC(G167)</f>
        <v>0</v>
      </c>
      <c r="K167" s="9">
        <f t="shared" si="24"/>
        <v>0</v>
      </c>
      <c r="L167" s="9" t="str">
        <f t="shared" si="21"/>
        <v/>
      </c>
      <c r="M167" s="15" t="str">
        <f t="shared" si="25"/>
        <v/>
      </c>
      <c r="N167" t="str">
        <f t="shared" si="22"/>
        <v/>
      </c>
    </row>
    <row r="168" spans="4:14" x14ac:dyDescent="0.25">
      <c r="D168">
        <v>4</v>
      </c>
      <c r="E168" t="str">
        <f t="shared" si="20"/>
        <v>100</v>
      </c>
      <c r="G168" s="14" t="str">
        <f t="shared" ref="G168:G231" si="26">E168</f>
        <v>100</v>
      </c>
      <c r="H168" s="9" t="str">
        <f>IF(OR(G168=G167,BITWISE_XOR(G167,G168)=VALUE("111")),"",LEFT(G168,2))</f>
        <v/>
      </c>
      <c r="I168" s="9" t="str">
        <f>IF(OR(G168=G167,BITWISE_XOR(G167,G168)=VALUE("111")),"",RIGHT(G168,1))</f>
        <v/>
      </c>
      <c r="J168" s="9" t="b">
        <f>BITWISE_XOR(BIN2DEC(G167),7)=BIN2DEC(G168)</f>
        <v>1</v>
      </c>
      <c r="K168" s="9">
        <f t="shared" ref="K168:K231" si="27">IF(J168=TRUE,0,(IF((H168=""),K167,MOD((K167+1),4))))</f>
        <v>0</v>
      </c>
      <c r="L168" s="9" t="str">
        <f t="shared" ref="L168:L231" si="28">IF(K168=K167,IF(K167=0,H168,L167),IF(K168=1,H168,CONCATENATE(H168,L167)))</f>
        <v/>
      </c>
      <c r="M168" s="15" t="str">
        <f t="shared" ref="M168:M231" si="29">IF(AND(K168=0,K167=3),BIN2DEC(L168),"")</f>
        <v/>
      </c>
      <c r="N168" t="str">
        <f t="shared" si="22"/>
        <v/>
      </c>
    </row>
    <row r="169" spans="4:14" x14ac:dyDescent="0.25">
      <c r="D169">
        <v>4</v>
      </c>
      <c r="E169" t="str">
        <f t="shared" si="20"/>
        <v>100</v>
      </c>
      <c r="G169" s="14" t="str">
        <f t="shared" si="26"/>
        <v>100</v>
      </c>
      <c r="H169" s="9" t="str">
        <f>IF(OR(G169=G168,BITWISE_XOR(G168,G169)=VALUE("111")),"",LEFT(G169,2))</f>
        <v/>
      </c>
      <c r="I169" s="9" t="str">
        <f>IF(OR(G169=G168,BITWISE_XOR(G168,G169)=VALUE("111")),"",RIGHT(G169,1))</f>
        <v/>
      </c>
      <c r="J169" s="9" t="b">
        <f>BITWISE_XOR(BIN2DEC(G168),7)=BIN2DEC(G169)</f>
        <v>0</v>
      </c>
      <c r="K169" s="9">
        <f t="shared" si="27"/>
        <v>0</v>
      </c>
      <c r="L169" s="9" t="str">
        <f t="shared" si="28"/>
        <v/>
      </c>
      <c r="M169" s="15" t="str">
        <f t="shared" si="29"/>
        <v/>
      </c>
      <c r="N169" t="str">
        <f t="shared" si="22"/>
        <v/>
      </c>
    </row>
    <row r="170" spans="4:14" x14ac:dyDescent="0.25">
      <c r="D170">
        <v>4</v>
      </c>
      <c r="E170" t="str">
        <f t="shared" si="20"/>
        <v>100</v>
      </c>
      <c r="G170" s="14" t="str">
        <f t="shared" si="26"/>
        <v>100</v>
      </c>
      <c r="H170" s="9" t="str">
        <f>IF(OR(G170=G169,BITWISE_XOR(G169,G170)=VALUE("111")),"",LEFT(G170,2))</f>
        <v/>
      </c>
      <c r="I170" s="9" t="str">
        <f>IF(OR(G170=G169,BITWISE_XOR(G169,G170)=VALUE("111")),"",RIGHT(G170,1))</f>
        <v/>
      </c>
      <c r="J170" s="9" t="b">
        <f>BITWISE_XOR(BIN2DEC(G169),7)=BIN2DEC(G170)</f>
        <v>0</v>
      </c>
      <c r="K170" s="9">
        <f t="shared" si="27"/>
        <v>0</v>
      </c>
      <c r="L170" s="9" t="str">
        <f t="shared" si="28"/>
        <v/>
      </c>
      <c r="M170" s="15" t="str">
        <f t="shared" si="29"/>
        <v/>
      </c>
      <c r="N170" t="str">
        <f t="shared" si="22"/>
        <v/>
      </c>
    </row>
    <row r="171" spans="4:14" x14ac:dyDescent="0.25">
      <c r="D171">
        <v>4</v>
      </c>
      <c r="E171" t="str">
        <f t="shared" si="20"/>
        <v>100</v>
      </c>
      <c r="G171" s="14" t="str">
        <f t="shared" si="26"/>
        <v>100</v>
      </c>
      <c r="H171" s="9" t="str">
        <f>IF(OR(G171=G170,BITWISE_XOR(G170,G171)=VALUE("111")),"",LEFT(G171,2))</f>
        <v/>
      </c>
      <c r="I171" s="9" t="str">
        <f>IF(OR(G171=G170,BITWISE_XOR(G170,G171)=VALUE("111")),"",RIGHT(G171,1))</f>
        <v/>
      </c>
      <c r="J171" s="9" t="b">
        <f>BITWISE_XOR(BIN2DEC(G170),7)=BIN2DEC(G171)</f>
        <v>0</v>
      </c>
      <c r="K171" s="9">
        <f t="shared" si="27"/>
        <v>0</v>
      </c>
      <c r="L171" s="9" t="str">
        <f t="shared" si="28"/>
        <v/>
      </c>
      <c r="M171" s="15" t="str">
        <f t="shared" si="29"/>
        <v/>
      </c>
      <c r="N171" t="str">
        <f t="shared" si="22"/>
        <v/>
      </c>
    </row>
    <row r="172" spans="4:14" x14ac:dyDescent="0.25">
      <c r="D172">
        <v>4</v>
      </c>
      <c r="E172" t="str">
        <f t="shared" si="20"/>
        <v>100</v>
      </c>
      <c r="G172" s="14" t="str">
        <f t="shared" si="26"/>
        <v>100</v>
      </c>
      <c r="H172" s="9" t="str">
        <f>IF(OR(G172=G171,BITWISE_XOR(G171,G172)=VALUE("111")),"",LEFT(G172,2))</f>
        <v/>
      </c>
      <c r="I172" s="9" t="str">
        <f>IF(OR(G172=G171,BITWISE_XOR(G171,G172)=VALUE("111")),"",RIGHT(G172,1))</f>
        <v/>
      </c>
      <c r="J172" s="9" t="b">
        <f>BITWISE_XOR(BIN2DEC(G171),7)=BIN2DEC(G172)</f>
        <v>0</v>
      </c>
      <c r="K172" s="9">
        <f t="shared" si="27"/>
        <v>0</v>
      </c>
      <c r="L172" s="9" t="str">
        <f t="shared" si="28"/>
        <v/>
      </c>
      <c r="M172" s="15" t="str">
        <f t="shared" si="29"/>
        <v/>
      </c>
      <c r="N172" t="str">
        <f t="shared" si="22"/>
        <v/>
      </c>
    </row>
    <row r="173" spans="4:14" x14ac:dyDescent="0.25">
      <c r="D173">
        <v>4</v>
      </c>
      <c r="E173" t="str">
        <f t="shared" si="20"/>
        <v>100</v>
      </c>
      <c r="G173" s="14" t="str">
        <f t="shared" si="26"/>
        <v>100</v>
      </c>
      <c r="H173" s="9" t="str">
        <f>IF(OR(G173=G172,BITWISE_XOR(G172,G173)=VALUE("111")),"",LEFT(G173,2))</f>
        <v/>
      </c>
      <c r="I173" s="9" t="str">
        <f>IF(OR(G173=G172,BITWISE_XOR(G172,G173)=VALUE("111")),"",RIGHT(G173,1))</f>
        <v/>
      </c>
      <c r="J173" s="9" t="b">
        <f>BITWISE_XOR(BIN2DEC(G172),7)=BIN2DEC(G173)</f>
        <v>0</v>
      </c>
      <c r="K173" s="9">
        <f t="shared" si="27"/>
        <v>0</v>
      </c>
      <c r="L173" s="9" t="str">
        <f t="shared" si="28"/>
        <v/>
      </c>
      <c r="M173" s="15" t="str">
        <f t="shared" si="29"/>
        <v/>
      </c>
      <c r="N173" t="str">
        <f t="shared" si="22"/>
        <v/>
      </c>
    </row>
    <row r="174" spans="4:14" x14ac:dyDescent="0.25">
      <c r="D174">
        <v>4</v>
      </c>
      <c r="E174" t="str">
        <f t="shared" si="20"/>
        <v>100</v>
      </c>
      <c r="G174" s="14" t="str">
        <f t="shared" si="26"/>
        <v>100</v>
      </c>
      <c r="H174" s="9" t="str">
        <f>IF(OR(G174=G173,BITWISE_XOR(G173,G174)=VALUE("111")),"",LEFT(G174,2))</f>
        <v/>
      </c>
      <c r="I174" s="9" t="str">
        <f>IF(OR(G174=G173,BITWISE_XOR(G173,G174)=VALUE("111")),"",RIGHT(G174,1))</f>
        <v/>
      </c>
      <c r="J174" s="9" t="b">
        <f>BITWISE_XOR(BIN2DEC(G173),7)=BIN2DEC(G174)</f>
        <v>0</v>
      </c>
      <c r="K174" s="9">
        <f t="shared" si="27"/>
        <v>0</v>
      </c>
      <c r="L174" s="9" t="str">
        <f t="shared" si="28"/>
        <v/>
      </c>
      <c r="M174" s="15" t="str">
        <f t="shared" si="29"/>
        <v/>
      </c>
      <c r="N174" t="str">
        <f t="shared" si="22"/>
        <v/>
      </c>
    </row>
    <row r="175" spans="4:14" x14ac:dyDescent="0.25">
      <c r="D175">
        <v>3</v>
      </c>
      <c r="E175" t="str">
        <f t="shared" si="20"/>
        <v>011</v>
      </c>
      <c r="G175" s="14" t="str">
        <f t="shared" si="26"/>
        <v>011</v>
      </c>
      <c r="H175" s="9" t="str">
        <f>IF(OR(G175=G174,BITWISE_XOR(G174,G175)=VALUE("111")),"",LEFT(G175,2))</f>
        <v/>
      </c>
      <c r="I175" s="9" t="str">
        <f>IF(OR(G175=G174,BITWISE_XOR(G174,G175)=VALUE("111")),"",RIGHT(G175,1))</f>
        <v/>
      </c>
      <c r="J175" s="9" t="b">
        <f>BITWISE_XOR(BIN2DEC(G174),7)=BIN2DEC(G175)</f>
        <v>1</v>
      </c>
      <c r="K175" s="9">
        <f t="shared" si="27"/>
        <v>0</v>
      </c>
      <c r="L175" s="9" t="str">
        <f t="shared" si="28"/>
        <v/>
      </c>
      <c r="M175" s="15" t="str">
        <f t="shared" si="29"/>
        <v/>
      </c>
      <c r="N175" t="str">
        <f t="shared" si="22"/>
        <v/>
      </c>
    </row>
    <row r="176" spans="4:14" x14ac:dyDescent="0.25">
      <c r="D176">
        <v>3</v>
      </c>
      <c r="E176" t="str">
        <f t="shared" si="20"/>
        <v>011</v>
      </c>
      <c r="G176" s="14" t="str">
        <f t="shared" si="26"/>
        <v>011</v>
      </c>
      <c r="H176" s="9" t="str">
        <f>IF(OR(G176=G175,BITWISE_XOR(G175,G176)=VALUE("111")),"",LEFT(G176,2))</f>
        <v/>
      </c>
      <c r="I176" s="9" t="str">
        <f>IF(OR(G176=G175,BITWISE_XOR(G175,G176)=VALUE("111")),"",RIGHT(G176,1))</f>
        <v/>
      </c>
      <c r="J176" s="9" t="b">
        <f>BITWISE_XOR(BIN2DEC(G175),7)=BIN2DEC(G176)</f>
        <v>0</v>
      </c>
      <c r="K176" s="9">
        <f t="shared" si="27"/>
        <v>0</v>
      </c>
      <c r="L176" s="9" t="str">
        <f t="shared" si="28"/>
        <v/>
      </c>
      <c r="M176" s="15" t="str">
        <f t="shared" si="29"/>
        <v/>
      </c>
      <c r="N176" t="str">
        <f t="shared" si="22"/>
        <v/>
      </c>
    </row>
    <row r="177" spans="4:14" x14ac:dyDescent="0.25">
      <c r="D177">
        <v>3</v>
      </c>
      <c r="E177" t="str">
        <f t="shared" ref="E177:E240" si="30">DEC2BIN(D177,3)</f>
        <v>011</v>
      </c>
      <c r="G177" s="14" t="str">
        <f t="shared" si="26"/>
        <v>011</v>
      </c>
      <c r="H177" s="9" t="str">
        <f>IF(OR(G177=G176,BITWISE_XOR(G176,G177)=VALUE("111")),"",LEFT(G177,2))</f>
        <v/>
      </c>
      <c r="I177" s="9" t="str">
        <f>IF(OR(G177=G176,BITWISE_XOR(G176,G177)=VALUE("111")),"",RIGHT(G177,1))</f>
        <v/>
      </c>
      <c r="J177" s="9" t="b">
        <f>BITWISE_XOR(BIN2DEC(G176),7)=BIN2DEC(G177)</f>
        <v>0</v>
      </c>
      <c r="K177" s="9">
        <f t="shared" si="27"/>
        <v>0</v>
      </c>
      <c r="L177" s="9" t="str">
        <f t="shared" si="28"/>
        <v/>
      </c>
      <c r="M177" s="15" t="str">
        <f t="shared" si="29"/>
        <v/>
      </c>
      <c r="N177" t="str">
        <f t="shared" si="22"/>
        <v/>
      </c>
    </row>
    <row r="178" spans="4:14" x14ac:dyDescent="0.25">
      <c r="D178">
        <v>3</v>
      </c>
      <c r="E178" t="str">
        <f t="shared" si="30"/>
        <v>011</v>
      </c>
      <c r="G178" s="14" t="str">
        <f t="shared" si="26"/>
        <v>011</v>
      </c>
      <c r="H178" s="9" t="str">
        <f>IF(OR(G178=G177,BITWISE_XOR(G177,G178)=VALUE("111")),"",LEFT(G178,2))</f>
        <v/>
      </c>
      <c r="I178" s="9" t="str">
        <f>IF(OR(G178=G177,BITWISE_XOR(G177,G178)=VALUE("111")),"",RIGHT(G178,1))</f>
        <v/>
      </c>
      <c r="J178" s="9" t="b">
        <f>BITWISE_XOR(BIN2DEC(G177),7)=BIN2DEC(G178)</f>
        <v>0</v>
      </c>
      <c r="K178" s="9">
        <f t="shared" si="27"/>
        <v>0</v>
      </c>
      <c r="L178" s="9" t="str">
        <f t="shared" si="28"/>
        <v/>
      </c>
      <c r="M178" s="15" t="str">
        <f t="shared" si="29"/>
        <v/>
      </c>
      <c r="N178" t="str">
        <f t="shared" si="22"/>
        <v/>
      </c>
    </row>
    <row r="179" spans="4:14" x14ac:dyDescent="0.25">
      <c r="D179">
        <v>3</v>
      </c>
      <c r="E179" t="str">
        <f t="shared" si="30"/>
        <v>011</v>
      </c>
      <c r="G179" s="14" t="str">
        <f t="shared" si="26"/>
        <v>011</v>
      </c>
      <c r="H179" s="9" t="str">
        <f>IF(OR(G179=G178,BITWISE_XOR(G178,G179)=VALUE("111")),"",LEFT(G179,2))</f>
        <v/>
      </c>
      <c r="I179" s="9" t="str">
        <f>IF(OR(G179=G178,BITWISE_XOR(G178,G179)=VALUE("111")),"",RIGHT(G179,1))</f>
        <v/>
      </c>
      <c r="J179" s="9" t="b">
        <f>BITWISE_XOR(BIN2DEC(G178),7)=BIN2DEC(G179)</f>
        <v>0</v>
      </c>
      <c r="K179" s="9">
        <f t="shared" si="27"/>
        <v>0</v>
      </c>
      <c r="L179" s="9" t="str">
        <f t="shared" si="28"/>
        <v/>
      </c>
      <c r="M179" s="15" t="str">
        <f t="shared" si="29"/>
        <v/>
      </c>
      <c r="N179" t="str">
        <f t="shared" si="22"/>
        <v/>
      </c>
    </row>
    <row r="180" spans="4:14" x14ac:dyDescent="0.25">
      <c r="D180">
        <v>3</v>
      </c>
      <c r="E180" t="str">
        <f t="shared" si="30"/>
        <v>011</v>
      </c>
      <c r="G180" s="14" t="str">
        <f t="shared" si="26"/>
        <v>011</v>
      </c>
      <c r="H180" s="9" t="str">
        <f>IF(OR(G180=G179,BITWISE_XOR(G179,G180)=VALUE("111")),"",LEFT(G180,2))</f>
        <v/>
      </c>
      <c r="I180" s="9" t="str">
        <f>IF(OR(G180=G179,BITWISE_XOR(G179,G180)=VALUE("111")),"",RIGHT(G180,1))</f>
        <v/>
      </c>
      <c r="J180" s="9" t="b">
        <f>BITWISE_XOR(BIN2DEC(G179),7)=BIN2DEC(G180)</f>
        <v>0</v>
      </c>
      <c r="K180" s="9">
        <f t="shared" si="27"/>
        <v>0</v>
      </c>
      <c r="L180" s="9" t="str">
        <f t="shared" si="28"/>
        <v/>
      </c>
      <c r="M180" s="15" t="str">
        <f t="shared" si="29"/>
        <v/>
      </c>
      <c r="N180" t="str">
        <f t="shared" si="22"/>
        <v/>
      </c>
    </row>
    <row r="181" spans="4:14" x14ac:dyDescent="0.25">
      <c r="D181">
        <v>3</v>
      </c>
      <c r="E181" t="str">
        <f t="shared" si="30"/>
        <v>011</v>
      </c>
      <c r="G181" s="14" t="str">
        <f t="shared" si="26"/>
        <v>011</v>
      </c>
      <c r="H181" s="9" t="str">
        <f>IF(OR(G181=G180,BITWISE_XOR(G180,G181)=VALUE("111")),"",LEFT(G181,2))</f>
        <v/>
      </c>
      <c r="I181" s="9" t="str">
        <f>IF(OR(G181=G180,BITWISE_XOR(G180,G181)=VALUE("111")),"",RIGHT(G181,1))</f>
        <v/>
      </c>
      <c r="J181" s="9" t="b">
        <f>BITWISE_XOR(BIN2DEC(G180),7)=BIN2DEC(G181)</f>
        <v>0</v>
      </c>
      <c r="K181" s="9">
        <f t="shared" si="27"/>
        <v>0</v>
      </c>
      <c r="L181" s="9" t="str">
        <f t="shared" si="28"/>
        <v/>
      </c>
      <c r="M181" s="15" t="str">
        <f t="shared" si="29"/>
        <v/>
      </c>
      <c r="N181" t="str">
        <f t="shared" si="22"/>
        <v/>
      </c>
    </row>
    <row r="182" spans="4:14" x14ac:dyDescent="0.25">
      <c r="D182">
        <v>4</v>
      </c>
      <c r="E182" t="str">
        <f t="shared" si="30"/>
        <v>100</v>
      </c>
      <c r="G182" s="14" t="str">
        <f t="shared" si="26"/>
        <v>100</v>
      </c>
      <c r="H182" s="9" t="str">
        <f>IF(OR(G182=G181,BITWISE_XOR(G181,G182)=VALUE("111")),"",LEFT(G182,2))</f>
        <v/>
      </c>
      <c r="I182" s="9" t="str">
        <f>IF(OR(G182=G181,BITWISE_XOR(G181,G182)=VALUE("111")),"",RIGHT(G182,1))</f>
        <v/>
      </c>
      <c r="J182" s="9" t="b">
        <f>BITWISE_XOR(BIN2DEC(G181),7)=BIN2DEC(G182)</f>
        <v>1</v>
      </c>
      <c r="K182" s="9">
        <f t="shared" si="27"/>
        <v>0</v>
      </c>
      <c r="L182" s="9" t="str">
        <f t="shared" si="28"/>
        <v/>
      </c>
      <c r="M182" s="15" t="str">
        <f t="shared" si="29"/>
        <v/>
      </c>
      <c r="N182" t="str">
        <f t="shared" si="22"/>
        <v/>
      </c>
    </row>
    <row r="183" spans="4:14" x14ac:dyDescent="0.25">
      <c r="D183">
        <v>4</v>
      </c>
      <c r="E183" t="str">
        <f t="shared" si="30"/>
        <v>100</v>
      </c>
      <c r="G183" s="14" t="str">
        <f t="shared" si="26"/>
        <v>100</v>
      </c>
      <c r="H183" s="9" t="str">
        <f>IF(OR(G183=G182,BITWISE_XOR(G182,G183)=VALUE("111")),"",LEFT(G183,2))</f>
        <v/>
      </c>
      <c r="I183" s="9" t="str">
        <f>IF(OR(G183=G182,BITWISE_XOR(G182,G183)=VALUE("111")),"",RIGHT(G183,1))</f>
        <v/>
      </c>
      <c r="J183" s="9" t="b">
        <f>BITWISE_XOR(BIN2DEC(G182),7)=BIN2DEC(G183)</f>
        <v>0</v>
      </c>
      <c r="K183" s="9">
        <f t="shared" si="27"/>
        <v>0</v>
      </c>
      <c r="L183" s="9" t="str">
        <f t="shared" si="28"/>
        <v/>
      </c>
      <c r="M183" s="15" t="str">
        <f t="shared" si="29"/>
        <v/>
      </c>
      <c r="N183" t="str">
        <f t="shared" si="22"/>
        <v/>
      </c>
    </row>
    <row r="184" spans="4:14" x14ac:dyDescent="0.25">
      <c r="D184">
        <v>4</v>
      </c>
      <c r="E184" t="str">
        <f t="shared" si="30"/>
        <v>100</v>
      </c>
      <c r="G184" s="14" t="str">
        <f t="shared" si="26"/>
        <v>100</v>
      </c>
      <c r="H184" s="9" t="str">
        <f>IF(OR(G184=G183,BITWISE_XOR(G183,G184)=VALUE("111")),"",LEFT(G184,2))</f>
        <v/>
      </c>
      <c r="I184" s="9" t="str">
        <f>IF(OR(G184=G183,BITWISE_XOR(G183,G184)=VALUE("111")),"",RIGHT(G184,1))</f>
        <v/>
      </c>
      <c r="J184" s="9" t="b">
        <f>BITWISE_XOR(BIN2DEC(G183),7)=BIN2DEC(G184)</f>
        <v>0</v>
      </c>
      <c r="K184" s="9">
        <f t="shared" si="27"/>
        <v>0</v>
      </c>
      <c r="L184" s="9" t="str">
        <f t="shared" si="28"/>
        <v/>
      </c>
      <c r="M184" s="15" t="str">
        <f t="shared" si="29"/>
        <v/>
      </c>
      <c r="N184" t="str">
        <f t="shared" si="22"/>
        <v/>
      </c>
    </row>
    <row r="185" spans="4:14" x14ac:dyDescent="0.25">
      <c r="D185">
        <v>4</v>
      </c>
      <c r="E185" t="str">
        <f t="shared" si="30"/>
        <v>100</v>
      </c>
      <c r="G185" s="14" t="str">
        <f t="shared" si="26"/>
        <v>100</v>
      </c>
      <c r="H185" s="9" t="str">
        <f>IF(OR(G185=G184,BITWISE_XOR(G184,G185)=VALUE("111")),"",LEFT(G185,2))</f>
        <v/>
      </c>
      <c r="I185" s="9" t="str">
        <f>IF(OR(G185=G184,BITWISE_XOR(G184,G185)=VALUE("111")),"",RIGHT(G185,1))</f>
        <v/>
      </c>
      <c r="J185" s="9" t="b">
        <f>BITWISE_XOR(BIN2DEC(G184),7)=BIN2DEC(G185)</f>
        <v>0</v>
      </c>
      <c r="K185" s="9">
        <f t="shared" si="27"/>
        <v>0</v>
      </c>
      <c r="L185" s="9" t="str">
        <f t="shared" si="28"/>
        <v/>
      </c>
      <c r="M185" s="15" t="str">
        <f t="shared" si="29"/>
        <v/>
      </c>
      <c r="N185" t="str">
        <f t="shared" si="22"/>
        <v/>
      </c>
    </row>
    <row r="186" spans="4:14" x14ac:dyDescent="0.25">
      <c r="D186">
        <v>4</v>
      </c>
      <c r="E186" t="str">
        <f t="shared" si="30"/>
        <v>100</v>
      </c>
      <c r="G186" s="14" t="str">
        <f t="shared" si="26"/>
        <v>100</v>
      </c>
      <c r="H186" s="9" t="str">
        <f>IF(OR(G186=G185,BITWISE_XOR(G185,G186)=VALUE("111")),"",LEFT(G186,2))</f>
        <v/>
      </c>
      <c r="I186" s="9" t="str">
        <f>IF(OR(G186=G185,BITWISE_XOR(G185,G186)=VALUE("111")),"",RIGHT(G186,1))</f>
        <v/>
      </c>
      <c r="J186" s="9" t="b">
        <f>BITWISE_XOR(BIN2DEC(G185),7)=BIN2DEC(G186)</f>
        <v>0</v>
      </c>
      <c r="K186" s="9">
        <f t="shared" si="27"/>
        <v>0</v>
      </c>
      <c r="L186" s="9" t="str">
        <f t="shared" si="28"/>
        <v/>
      </c>
      <c r="M186" s="15" t="str">
        <f t="shared" si="29"/>
        <v/>
      </c>
      <c r="N186" t="str">
        <f t="shared" si="22"/>
        <v/>
      </c>
    </row>
    <row r="187" spans="4:14" x14ac:dyDescent="0.25">
      <c r="D187">
        <v>4</v>
      </c>
      <c r="E187" t="str">
        <f t="shared" si="30"/>
        <v>100</v>
      </c>
      <c r="G187" s="14" t="str">
        <f t="shared" si="26"/>
        <v>100</v>
      </c>
      <c r="H187" s="9" t="str">
        <f>IF(OR(G187=G186,BITWISE_XOR(G186,G187)=VALUE("111")),"",LEFT(G187,2))</f>
        <v/>
      </c>
      <c r="I187" s="9" t="str">
        <f>IF(OR(G187=G186,BITWISE_XOR(G186,G187)=VALUE("111")),"",RIGHT(G187,1))</f>
        <v/>
      </c>
      <c r="J187" s="9" t="b">
        <f>BITWISE_XOR(BIN2DEC(G186),7)=BIN2DEC(G187)</f>
        <v>0</v>
      </c>
      <c r="K187" s="9">
        <f t="shared" si="27"/>
        <v>0</v>
      </c>
      <c r="L187" s="9" t="str">
        <f t="shared" si="28"/>
        <v/>
      </c>
      <c r="M187" s="15" t="str">
        <f t="shared" si="29"/>
        <v/>
      </c>
      <c r="N187" t="str">
        <f t="shared" si="22"/>
        <v/>
      </c>
    </row>
    <row r="188" spans="4:14" x14ac:dyDescent="0.25">
      <c r="D188">
        <v>4</v>
      </c>
      <c r="E188" t="str">
        <f t="shared" si="30"/>
        <v>100</v>
      </c>
      <c r="G188" s="14" t="str">
        <f t="shared" si="26"/>
        <v>100</v>
      </c>
      <c r="H188" s="9" t="str">
        <f>IF(OR(G188=G187,BITWISE_XOR(G187,G188)=VALUE("111")),"",LEFT(G188,2))</f>
        <v/>
      </c>
      <c r="I188" s="9" t="str">
        <f>IF(OR(G188=G187,BITWISE_XOR(G187,G188)=VALUE("111")),"",RIGHT(G188,1))</f>
        <v/>
      </c>
      <c r="J188" s="9" t="b">
        <f>BITWISE_XOR(BIN2DEC(G187),7)=BIN2DEC(G188)</f>
        <v>0</v>
      </c>
      <c r="K188" s="9">
        <f t="shared" si="27"/>
        <v>0</v>
      </c>
      <c r="L188" s="9" t="str">
        <f t="shared" si="28"/>
        <v/>
      </c>
      <c r="M188" s="15" t="str">
        <f t="shared" si="29"/>
        <v/>
      </c>
      <c r="N188" t="str">
        <f t="shared" si="22"/>
        <v/>
      </c>
    </row>
    <row r="189" spans="4:14" x14ac:dyDescent="0.25">
      <c r="D189">
        <v>3</v>
      </c>
      <c r="E189" t="str">
        <f t="shared" si="30"/>
        <v>011</v>
      </c>
      <c r="G189" s="14" t="str">
        <f t="shared" si="26"/>
        <v>011</v>
      </c>
      <c r="H189" s="9" t="str">
        <f>IF(OR(G189=G188,BITWISE_XOR(G188,G189)=VALUE("111")),"",LEFT(G189,2))</f>
        <v/>
      </c>
      <c r="I189" s="9" t="str">
        <f>IF(OR(G189=G188,BITWISE_XOR(G188,G189)=VALUE("111")),"",RIGHT(G189,1))</f>
        <v/>
      </c>
      <c r="J189" s="9" t="b">
        <f>BITWISE_XOR(BIN2DEC(G188),7)=BIN2DEC(G189)</f>
        <v>1</v>
      </c>
      <c r="K189" s="9">
        <f t="shared" si="27"/>
        <v>0</v>
      </c>
      <c r="L189" s="9" t="str">
        <f t="shared" si="28"/>
        <v/>
      </c>
      <c r="M189" s="15" t="str">
        <f t="shared" si="29"/>
        <v/>
      </c>
      <c r="N189" t="str">
        <f t="shared" si="22"/>
        <v/>
      </c>
    </row>
    <row r="190" spans="4:14" x14ac:dyDescent="0.25">
      <c r="D190">
        <v>3</v>
      </c>
      <c r="E190" t="str">
        <f t="shared" si="30"/>
        <v>011</v>
      </c>
      <c r="G190" s="14" t="str">
        <f t="shared" si="26"/>
        <v>011</v>
      </c>
      <c r="H190" s="9" t="str">
        <f>IF(OR(G190=G189,BITWISE_XOR(G189,G190)=VALUE("111")),"",LEFT(G190,2))</f>
        <v/>
      </c>
      <c r="I190" s="9" t="str">
        <f>IF(OR(G190=G189,BITWISE_XOR(G189,G190)=VALUE("111")),"",RIGHT(G190,1))</f>
        <v/>
      </c>
      <c r="J190" s="9" t="b">
        <f>BITWISE_XOR(BIN2DEC(G189),7)=BIN2DEC(G190)</f>
        <v>0</v>
      </c>
      <c r="K190" s="9">
        <f t="shared" si="27"/>
        <v>0</v>
      </c>
      <c r="L190" s="9" t="str">
        <f t="shared" si="28"/>
        <v/>
      </c>
      <c r="M190" s="15" t="str">
        <f t="shared" si="29"/>
        <v/>
      </c>
      <c r="N190" t="str">
        <f t="shared" si="22"/>
        <v/>
      </c>
    </row>
    <row r="191" spans="4:14" x14ac:dyDescent="0.25">
      <c r="D191">
        <v>3</v>
      </c>
      <c r="E191" t="str">
        <f t="shared" si="30"/>
        <v>011</v>
      </c>
      <c r="G191" s="14" t="str">
        <f t="shared" si="26"/>
        <v>011</v>
      </c>
      <c r="H191" s="9" t="str">
        <f>IF(OR(G191=G190,BITWISE_XOR(G190,G191)=VALUE("111")),"",LEFT(G191,2))</f>
        <v/>
      </c>
      <c r="I191" s="9" t="str">
        <f>IF(OR(G191=G190,BITWISE_XOR(G190,G191)=VALUE("111")),"",RIGHT(G191,1))</f>
        <v/>
      </c>
      <c r="J191" s="9" t="b">
        <f>BITWISE_XOR(BIN2DEC(G190),7)=BIN2DEC(G191)</f>
        <v>0</v>
      </c>
      <c r="K191" s="9">
        <f t="shared" si="27"/>
        <v>0</v>
      </c>
      <c r="L191" s="9" t="str">
        <f t="shared" si="28"/>
        <v/>
      </c>
      <c r="M191" s="15" t="str">
        <f t="shared" si="29"/>
        <v/>
      </c>
      <c r="N191" t="str">
        <f t="shared" si="22"/>
        <v/>
      </c>
    </row>
    <row r="192" spans="4:14" x14ac:dyDescent="0.25">
      <c r="D192">
        <v>3</v>
      </c>
      <c r="E192" t="str">
        <f t="shared" si="30"/>
        <v>011</v>
      </c>
      <c r="G192" s="14" t="str">
        <f t="shared" si="26"/>
        <v>011</v>
      </c>
      <c r="H192" s="9" t="str">
        <f>IF(OR(G192=G191,BITWISE_XOR(G191,G192)=VALUE("111")),"",LEFT(G192,2))</f>
        <v/>
      </c>
      <c r="I192" s="9" t="str">
        <f>IF(OR(G192=G191,BITWISE_XOR(G191,G192)=VALUE("111")),"",RIGHT(G192,1))</f>
        <v/>
      </c>
      <c r="J192" s="9" t="b">
        <f>BITWISE_XOR(BIN2DEC(G191),7)=BIN2DEC(G192)</f>
        <v>0</v>
      </c>
      <c r="K192" s="9">
        <f t="shared" si="27"/>
        <v>0</v>
      </c>
      <c r="L192" s="9" t="str">
        <f t="shared" si="28"/>
        <v/>
      </c>
      <c r="M192" s="15" t="str">
        <f t="shared" si="29"/>
        <v/>
      </c>
      <c r="N192" t="str">
        <f t="shared" si="22"/>
        <v/>
      </c>
    </row>
    <row r="193" spans="4:14" x14ac:dyDescent="0.25">
      <c r="D193">
        <v>3</v>
      </c>
      <c r="E193" t="str">
        <f t="shared" si="30"/>
        <v>011</v>
      </c>
      <c r="G193" s="14" t="str">
        <f t="shared" si="26"/>
        <v>011</v>
      </c>
      <c r="H193" s="9" t="str">
        <f>IF(OR(G193=G192,BITWISE_XOR(G192,G193)=VALUE("111")),"",LEFT(G193,2))</f>
        <v/>
      </c>
      <c r="I193" s="9" t="str">
        <f>IF(OR(G193=G192,BITWISE_XOR(G192,G193)=VALUE("111")),"",RIGHT(G193,1))</f>
        <v/>
      </c>
      <c r="J193" s="9" t="b">
        <f>BITWISE_XOR(BIN2DEC(G192),7)=BIN2DEC(G193)</f>
        <v>0</v>
      </c>
      <c r="K193" s="9">
        <f t="shared" si="27"/>
        <v>0</v>
      </c>
      <c r="L193" s="9" t="str">
        <f t="shared" si="28"/>
        <v/>
      </c>
      <c r="M193" s="15" t="str">
        <f t="shared" si="29"/>
        <v/>
      </c>
      <c r="N193" t="str">
        <f t="shared" si="22"/>
        <v/>
      </c>
    </row>
    <row r="194" spans="4:14" x14ac:dyDescent="0.25">
      <c r="D194">
        <v>3</v>
      </c>
      <c r="E194" t="str">
        <f t="shared" si="30"/>
        <v>011</v>
      </c>
      <c r="G194" s="14" t="str">
        <f t="shared" si="26"/>
        <v>011</v>
      </c>
      <c r="H194" s="9" t="str">
        <f>IF(OR(G194=G193,BITWISE_XOR(G193,G194)=VALUE("111")),"",LEFT(G194,2))</f>
        <v/>
      </c>
      <c r="I194" s="9" t="str">
        <f>IF(OR(G194=G193,BITWISE_XOR(G193,G194)=VALUE("111")),"",RIGHT(G194,1))</f>
        <v/>
      </c>
      <c r="J194" s="9" t="b">
        <f>BITWISE_XOR(BIN2DEC(G193),7)=BIN2DEC(G194)</f>
        <v>0</v>
      </c>
      <c r="K194" s="9">
        <f t="shared" si="27"/>
        <v>0</v>
      </c>
      <c r="L194" s="9" t="str">
        <f t="shared" si="28"/>
        <v/>
      </c>
      <c r="M194" s="15" t="str">
        <f t="shared" si="29"/>
        <v/>
      </c>
      <c r="N194" t="str">
        <f t="shared" si="22"/>
        <v/>
      </c>
    </row>
    <row r="195" spans="4:14" x14ac:dyDescent="0.25">
      <c r="D195">
        <v>3</v>
      </c>
      <c r="E195" t="str">
        <f t="shared" si="30"/>
        <v>011</v>
      </c>
      <c r="G195" s="14" t="str">
        <f t="shared" si="26"/>
        <v>011</v>
      </c>
      <c r="H195" s="9" t="str">
        <f>IF(OR(G195=G194,BITWISE_XOR(G194,G195)=VALUE("111")),"",LEFT(G195,2))</f>
        <v/>
      </c>
      <c r="I195" s="9" t="str">
        <f>IF(OR(G195=G194,BITWISE_XOR(G194,G195)=VALUE("111")),"",RIGHT(G195,1))</f>
        <v/>
      </c>
      <c r="J195" s="9" t="b">
        <f>BITWISE_XOR(BIN2DEC(G194),7)=BIN2DEC(G195)</f>
        <v>0</v>
      </c>
      <c r="K195" s="9">
        <f t="shared" si="27"/>
        <v>0</v>
      </c>
      <c r="L195" s="9" t="str">
        <f t="shared" si="28"/>
        <v/>
      </c>
      <c r="M195" s="15" t="str">
        <f t="shared" si="29"/>
        <v/>
      </c>
      <c r="N195" t="str">
        <f t="shared" si="22"/>
        <v/>
      </c>
    </row>
    <row r="196" spans="4:14" x14ac:dyDescent="0.25">
      <c r="D196">
        <v>4</v>
      </c>
      <c r="E196" t="str">
        <f t="shared" si="30"/>
        <v>100</v>
      </c>
      <c r="G196" s="14" t="str">
        <f t="shared" si="26"/>
        <v>100</v>
      </c>
      <c r="H196" s="9" t="str">
        <f>IF(OR(G196=G195,BITWISE_XOR(G195,G196)=VALUE("111")),"",LEFT(G196,2))</f>
        <v/>
      </c>
      <c r="I196" s="9" t="str">
        <f>IF(OR(G196=G195,BITWISE_XOR(G195,G196)=VALUE("111")),"",RIGHT(G196,1))</f>
        <v/>
      </c>
      <c r="J196" s="9" t="b">
        <f>BITWISE_XOR(BIN2DEC(G195),7)=BIN2DEC(G196)</f>
        <v>1</v>
      </c>
      <c r="K196" s="9">
        <f t="shared" si="27"/>
        <v>0</v>
      </c>
      <c r="L196" s="9" t="str">
        <f t="shared" si="28"/>
        <v/>
      </c>
      <c r="M196" s="15" t="str">
        <f t="shared" si="29"/>
        <v/>
      </c>
      <c r="N196" t="str">
        <f t="shared" si="22"/>
        <v/>
      </c>
    </row>
    <row r="197" spans="4:14" x14ac:dyDescent="0.25">
      <c r="D197">
        <v>4</v>
      </c>
      <c r="E197" t="str">
        <f t="shared" si="30"/>
        <v>100</v>
      </c>
      <c r="G197" s="14" t="str">
        <f t="shared" si="26"/>
        <v>100</v>
      </c>
      <c r="H197" s="9" t="str">
        <f>IF(OR(G197=G196,BITWISE_XOR(G196,G197)=VALUE("111")),"",LEFT(G197,2))</f>
        <v/>
      </c>
      <c r="I197" s="9" t="str">
        <f>IF(OR(G197=G196,BITWISE_XOR(G196,G197)=VALUE("111")),"",RIGHT(G197,1))</f>
        <v/>
      </c>
      <c r="J197" s="9" t="b">
        <f>BITWISE_XOR(BIN2DEC(G196),7)=BIN2DEC(G197)</f>
        <v>0</v>
      </c>
      <c r="K197" s="9">
        <f t="shared" si="27"/>
        <v>0</v>
      </c>
      <c r="L197" s="9" t="str">
        <f t="shared" si="28"/>
        <v/>
      </c>
      <c r="M197" s="15" t="str">
        <f t="shared" si="29"/>
        <v/>
      </c>
      <c r="N197" t="str">
        <f t="shared" si="22"/>
        <v/>
      </c>
    </row>
    <row r="198" spans="4:14" x14ac:dyDescent="0.25">
      <c r="D198">
        <v>4</v>
      </c>
      <c r="E198" t="str">
        <f t="shared" si="30"/>
        <v>100</v>
      </c>
      <c r="G198" s="14" t="str">
        <f t="shared" si="26"/>
        <v>100</v>
      </c>
      <c r="H198" s="9" t="str">
        <f>IF(OR(G198=G197,BITWISE_XOR(G197,G198)=VALUE("111")),"",LEFT(G198,2))</f>
        <v/>
      </c>
      <c r="I198" s="9" t="str">
        <f>IF(OR(G198=G197,BITWISE_XOR(G197,G198)=VALUE("111")),"",RIGHT(G198,1))</f>
        <v/>
      </c>
      <c r="J198" s="9" t="b">
        <f>BITWISE_XOR(BIN2DEC(G197),7)=BIN2DEC(G198)</f>
        <v>0</v>
      </c>
      <c r="K198" s="9">
        <f t="shared" si="27"/>
        <v>0</v>
      </c>
      <c r="L198" s="9" t="str">
        <f t="shared" si="28"/>
        <v/>
      </c>
      <c r="M198" s="15" t="str">
        <f t="shared" si="29"/>
        <v/>
      </c>
      <c r="N198" t="str">
        <f t="shared" si="22"/>
        <v/>
      </c>
    </row>
    <row r="199" spans="4:14" x14ac:dyDescent="0.25">
      <c r="D199">
        <v>4</v>
      </c>
      <c r="E199" t="str">
        <f t="shared" si="30"/>
        <v>100</v>
      </c>
      <c r="G199" s="14" t="str">
        <f t="shared" si="26"/>
        <v>100</v>
      </c>
      <c r="H199" s="9" t="str">
        <f>IF(OR(G199=G198,BITWISE_XOR(G198,G199)=VALUE("111")),"",LEFT(G199,2))</f>
        <v/>
      </c>
      <c r="I199" s="9" t="str">
        <f>IF(OR(G199=G198,BITWISE_XOR(G198,G199)=VALUE("111")),"",RIGHT(G199,1))</f>
        <v/>
      </c>
      <c r="J199" s="9" t="b">
        <f>BITWISE_XOR(BIN2DEC(G198),7)=BIN2DEC(G199)</f>
        <v>0</v>
      </c>
      <c r="K199" s="9">
        <f t="shared" si="27"/>
        <v>0</v>
      </c>
      <c r="L199" s="9" t="str">
        <f t="shared" si="28"/>
        <v/>
      </c>
      <c r="M199" s="15" t="str">
        <f t="shared" si="29"/>
        <v/>
      </c>
      <c r="N199" t="str">
        <f t="shared" si="22"/>
        <v/>
      </c>
    </row>
    <row r="200" spans="4:14" x14ac:dyDescent="0.25">
      <c r="D200">
        <v>4</v>
      </c>
      <c r="E200" t="str">
        <f t="shared" si="30"/>
        <v>100</v>
      </c>
      <c r="G200" s="14" t="str">
        <f t="shared" si="26"/>
        <v>100</v>
      </c>
      <c r="H200" s="9" t="str">
        <f>IF(OR(G200=G199,BITWISE_XOR(G199,G200)=VALUE("111")),"",LEFT(G200,2))</f>
        <v/>
      </c>
      <c r="I200" s="9" t="str">
        <f>IF(OR(G200=G199,BITWISE_XOR(G199,G200)=VALUE("111")),"",RIGHT(G200,1))</f>
        <v/>
      </c>
      <c r="J200" s="9" t="b">
        <f>BITWISE_XOR(BIN2DEC(G199),7)=BIN2DEC(G200)</f>
        <v>0</v>
      </c>
      <c r="K200" s="9">
        <f t="shared" si="27"/>
        <v>0</v>
      </c>
      <c r="L200" s="9" t="str">
        <f t="shared" si="28"/>
        <v/>
      </c>
      <c r="M200" s="15" t="str">
        <f t="shared" si="29"/>
        <v/>
      </c>
      <c r="N200" t="str">
        <f t="shared" si="22"/>
        <v/>
      </c>
    </row>
    <row r="201" spans="4:14" x14ac:dyDescent="0.25">
      <c r="D201">
        <v>4</v>
      </c>
      <c r="E201" t="str">
        <f t="shared" si="30"/>
        <v>100</v>
      </c>
      <c r="G201" s="14" t="str">
        <f t="shared" si="26"/>
        <v>100</v>
      </c>
      <c r="H201" s="9" t="str">
        <f>IF(OR(G201=G200,BITWISE_XOR(G200,G201)=VALUE("111")),"",LEFT(G201,2))</f>
        <v/>
      </c>
      <c r="I201" s="9" t="str">
        <f>IF(OR(G201=G200,BITWISE_XOR(G200,G201)=VALUE("111")),"",RIGHT(G201,1))</f>
        <v/>
      </c>
      <c r="J201" s="9" t="b">
        <f>BITWISE_XOR(BIN2DEC(G200),7)=BIN2DEC(G201)</f>
        <v>0</v>
      </c>
      <c r="K201" s="9">
        <f t="shared" si="27"/>
        <v>0</v>
      </c>
      <c r="L201" s="9" t="str">
        <f t="shared" si="28"/>
        <v/>
      </c>
      <c r="M201" s="15" t="str">
        <f t="shared" si="29"/>
        <v/>
      </c>
      <c r="N201" t="str">
        <f t="shared" si="22"/>
        <v/>
      </c>
    </row>
    <row r="202" spans="4:14" x14ac:dyDescent="0.25">
      <c r="D202">
        <v>4</v>
      </c>
      <c r="E202" t="str">
        <f t="shared" si="30"/>
        <v>100</v>
      </c>
      <c r="G202" s="14" t="str">
        <f t="shared" si="26"/>
        <v>100</v>
      </c>
      <c r="H202" s="9" t="str">
        <f>IF(OR(G202=G201,BITWISE_XOR(G201,G202)=VALUE("111")),"",LEFT(G202,2))</f>
        <v/>
      </c>
      <c r="I202" s="9" t="str">
        <f>IF(OR(G202=G201,BITWISE_XOR(G201,G202)=VALUE("111")),"",RIGHT(G202,1))</f>
        <v/>
      </c>
      <c r="J202" s="9" t="b">
        <f>BITWISE_XOR(BIN2DEC(G201),7)=BIN2DEC(G202)</f>
        <v>0</v>
      </c>
      <c r="K202" s="9">
        <f t="shared" si="27"/>
        <v>0</v>
      </c>
      <c r="L202" s="9" t="str">
        <f t="shared" si="28"/>
        <v/>
      </c>
      <c r="M202" s="15" t="str">
        <f t="shared" si="29"/>
        <v/>
      </c>
      <c r="N202" t="str">
        <f t="shared" si="22"/>
        <v/>
      </c>
    </row>
    <row r="203" spans="4:14" x14ac:dyDescent="0.25">
      <c r="D203">
        <v>6</v>
      </c>
      <c r="E203" t="str">
        <f t="shared" si="30"/>
        <v>110</v>
      </c>
      <c r="G203" s="14" t="str">
        <f t="shared" si="26"/>
        <v>110</v>
      </c>
      <c r="H203" s="9" t="str">
        <f>IF(OR(G203=G202,BITWISE_XOR(G202,G203)=VALUE("111")),"",LEFT(G203,2))</f>
        <v>11</v>
      </c>
      <c r="I203" s="9" t="str">
        <f>IF(OR(G203=G202,BITWISE_XOR(G202,G203)=VALUE("111")),"",RIGHT(G203,1))</f>
        <v>0</v>
      </c>
      <c r="J203" s="9" t="b">
        <f>BITWISE_XOR(BIN2DEC(G202),7)=BIN2DEC(G203)</f>
        <v>0</v>
      </c>
      <c r="K203" s="9">
        <f t="shared" si="27"/>
        <v>1</v>
      </c>
      <c r="L203" s="9" t="str">
        <f t="shared" si="28"/>
        <v>11</v>
      </c>
      <c r="M203" s="15" t="str">
        <f t="shared" si="29"/>
        <v/>
      </c>
      <c r="N203" t="str">
        <f t="shared" si="22"/>
        <v/>
      </c>
    </row>
    <row r="204" spans="4:14" x14ac:dyDescent="0.25">
      <c r="D204">
        <v>6</v>
      </c>
      <c r="E204" t="str">
        <f t="shared" si="30"/>
        <v>110</v>
      </c>
      <c r="G204" s="14" t="str">
        <f t="shared" si="26"/>
        <v>110</v>
      </c>
      <c r="H204" s="9" t="str">
        <f>IF(OR(G204=G203,BITWISE_XOR(G203,G204)=VALUE("111")),"",LEFT(G204,2))</f>
        <v/>
      </c>
      <c r="I204" s="9" t="str">
        <f>IF(OR(G204=G203,BITWISE_XOR(G203,G204)=VALUE("111")),"",RIGHT(G204,1))</f>
        <v/>
      </c>
      <c r="J204" s="9" t="b">
        <f>BITWISE_XOR(BIN2DEC(G203),7)=BIN2DEC(G204)</f>
        <v>0</v>
      </c>
      <c r="K204" s="9">
        <f t="shared" si="27"/>
        <v>1</v>
      </c>
      <c r="L204" s="9" t="str">
        <f t="shared" si="28"/>
        <v>11</v>
      </c>
      <c r="M204" s="15" t="str">
        <f t="shared" si="29"/>
        <v/>
      </c>
      <c r="N204" t="str">
        <f t="shared" si="22"/>
        <v/>
      </c>
    </row>
    <row r="205" spans="4:14" x14ac:dyDescent="0.25">
      <c r="D205">
        <v>6</v>
      </c>
      <c r="E205" t="str">
        <f t="shared" si="30"/>
        <v>110</v>
      </c>
      <c r="G205" s="14" t="str">
        <f t="shared" si="26"/>
        <v>110</v>
      </c>
      <c r="H205" s="9" t="str">
        <f>IF(OR(G205=G204,BITWISE_XOR(G204,G205)=VALUE("111")),"",LEFT(G205,2))</f>
        <v/>
      </c>
      <c r="I205" s="9" t="str">
        <f>IF(OR(G205=G204,BITWISE_XOR(G204,G205)=VALUE("111")),"",RIGHT(G205,1))</f>
        <v/>
      </c>
      <c r="J205" s="9" t="b">
        <f>BITWISE_XOR(BIN2DEC(G204),7)=BIN2DEC(G205)</f>
        <v>0</v>
      </c>
      <c r="K205" s="9">
        <f t="shared" si="27"/>
        <v>1</v>
      </c>
      <c r="L205" s="9" t="str">
        <f t="shared" si="28"/>
        <v>11</v>
      </c>
      <c r="M205" s="15" t="str">
        <f t="shared" si="29"/>
        <v/>
      </c>
      <c r="N205" t="str">
        <f t="shared" si="22"/>
        <v/>
      </c>
    </row>
    <row r="206" spans="4:14" x14ac:dyDescent="0.25">
      <c r="D206">
        <v>6</v>
      </c>
      <c r="E206" t="str">
        <f t="shared" si="30"/>
        <v>110</v>
      </c>
      <c r="G206" s="14" t="str">
        <f t="shared" si="26"/>
        <v>110</v>
      </c>
      <c r="H206" s="9" t="str">
        <f>IF(OR(G206=G205,BITWISE_XOR(G205,G206)=VALUE("111")),"",LEFT(G206,2))</f>
        <v/>
      </c>
      <c r="I206" s="9" t="str">
        <f>IF(OR(G206=G205,BITWISE_XOR(G205,G206)=VALUE("111")),"",RIGHT(G206,1))</f>
        <v/>
      </c>
      <c r="J206" s="9" t="b">
        <f>BITWISE_XOR(BIN2DEC(G205),7)=BIN2DEC(G206)</f>
        <v>0</v>
      </c>
      <c r="K206" s="9">
        <f t="shared" si="27"/>
        <v>1</v>
      </c>
      <c r="L206" s="9" t="str">
        <f t="shared" si="28"/>
        <v>11</v>
      </c>
      <c r="M206" s="15" t="str">
        <f t="shared" si="29"/>
        <v/>
      </c>
      <c r="N206" t="str">
        <f t="shared" si="22"/>
        <v/>
      </c>
    </row>
    <row r="207" spans="4:14" x14ac:dyDescent="0.25">
      <c r="D207">
        <v>6</v>
      </c>
      <c r="E207" t="str">
        <f t="shared" si="30"/>
        <v>110</v>
      </c>
      <c r="G207" s="14" t="str">
        <f t="shared" si="26"/>
        <v>110</v>
      </c>
      <c r="H207" s="9" t="str">
        <f>IF(OR(G207=G206,BITWISE_XOR(G206,G207)=VALUE("111")),"",LEFT(G207,2))</f>
        <v/>
      </c>
      <c r="I207" s="9" t="str">
        <f>IF(OR(G207=G206,BITWISE_XOR(G206,G207)=VALUE("111")),"",RIGHT(G207,1))</f>
        <v/>
      </c>
      <c r="J207" s="9" t="b">
        <f>BITWISE_XOR(BIN2DEC(G206),7)=BIN2DEC(G207)</f>
        <v>0</v>
      </c>
      <c r="K207" s="9">
        <f t="shared" si="27"/>
        <v>1</v>
      </c>
      <c r="L207" s="9" t="str">
        <f t="shared" si="28"/>
        <v>11</v>
      </c>
      <c r="M207" s="15" t="str">
        <f t="shared" si="29"/>
        <v/>
      </c>
      <c r="N207" t="str">
        <f t="shared" si="22"/>
        <v/>
      </c>
    </row>
    <row r="208" spans="4:14" x14ac:dyDescent="0.25">
      <c r="D208">
        <v>6</v>
      </c>
      <c r="E208" t="str">
        <f t="shared" si="30"/>
        <v>110</v>
      </c>
      <c r="G208" s="14" t="str">
        <f t="shared" si="26"/>
        <v>110</v>
      </c>
      <c r="H208" s="9" t="str">
        <f>IF(OR(G208=G207,BITWISE_XOR(G207,G208)=VALUE("111")),"",LEFT(G208,2))</f>
        <v/>
      </c>
      <c r="I208" s="9" t="str">
        <f>IF(OR(G208=G207,BITWISE_XOR(G207,G208)=VALUE("111")),"",RIGHT(G208,1))</f>
        <v/>
      </c>
      <c r="J208" s="9" t="b">
        <f>BITWISE_XOR(BIN2DEC(G207),7)=BIN2DEC(G208)</f>
        <v>0</v>
      </c>
      <c r="K208" s="9">
        <f t="shared" si="27"/>
        <v>1</v>
      </c>
      <c r="L208" s="9" t="str">
        <f t="shared" si="28"/>
        <v>11</v>
      </c>
      <c r="M208" s="15" t="str">
        <f t="shared" si="29"/>
        <v/>
      </c>
      <c r="N208" t="str">
        <f t="shared" si="22"/>
        <v/>
      </c>
    </row>
    <row r="209" spans="4:14" x14ac:dyDescent="0.25">
      <c r="D209">
        <v>6</v>
      </c>
      <c r="E209" t="str">
        <f t="shared" si="30"/>
        <v>110</v>
      </c>
      <c r="G209" s="14" t="str">
        <f t="shared" si="26"/>
        <v>110</v>
      </c>
      <c r="H209" s="9" t="str">
        <f>IF(OR(G209=G208,BITWISE_XOR(G208,G209)=VALUE("111")),"",LEFT(G209,2))</f>
        <v/>
      </c>
      <c r="I209" s="9" t="str">
        <f>IF(OR(G209=G208,BITWISE_XOR(G208,G209)=VALUE("111")),"",RIGHT(G209,1))</f>
        <v/>
      </c>
      <c r="J209" s="9" t="b">
        <f>BITWISE_XOR(BIN2DEC(G208),7)=BIN2DEC(G209)</f>
        <v>0</v>
      </c>
      <c r="K209" s="9">
        <f t="shared" si="27"/>
        <v>1</v>
      </c>
      <c r="L209" s="9" t="str">
        <f t="shared" si="28"/>
        <v>11</v>
      </c>
      <c r="M209" s="15" t="str">
        <f t="shared" si="29"/>
        <v/>
      </c>
      <c r="N209" t="str">
        <f t="shared" si="22"/>
        <v/>
      </c>
    </row>
    <row r="210" spans="4:14" x14ac:dyDescent="0.25">
      <c r="D210">
        <v>7</v>
      </c>
      <c r="E210" t="str">
        <f t="shared" si="30"/>
        <v>111</v>
      </c>
      <c r="G210" s="14" t="str">
        <f t="shared" si="26"/>
        <v>111</v>
      </c>
      <c r="H210" s="9" t="str">
        <f>IF(OR(G210=G209,BITWISE_XOR(G209,G210)=VALUE("111")),"",LEFT(G210,2))</f>
        <v>11</v>
      </c>
      <c r="I210" s="9" t="str">
        <f>IF(OR(G210=G209,BITWISE_XOR(G209,G210)=VALUE("111")),"",RIGHT(G210,1))</f>
        <v>1</v>
      </c>
      <c r="J210" s="9" t="b">
        <f>BITWISE_XOR(BIN2DEC(G209),7)=BIN2DEC(G210)</f>
        <v>0</v>
      </c>
      <c r="K210" s="9">
        <f t="shared" si="27"/>
        <v>2</v>
      </c>
      <c r="L210" s="9" t="str">
        <f t="shared" si="28"/>
        <v>1111</v>
      </c>
      <c r="M210" s="15" t="str">
        <f t="shared" si="29"/>
        <v/>
      </c>
      <c r="N210" t="str">
        <f t="shared" si="22"/>
        <v/>
      </c>
    </row>
    <row r="211" spans="4:14" x14ac:dyDescent="0.25">
      <c r="D211">
        <v>7</v>
      </c>
      <c r="E211" t="str">
        <f t="shared" si="30"/>
        <v>111</v>
      </c>
      <c r="G211" s="14" t="str">
        <f t="shared" si="26"/>
        <v>111</v>
      </c>
      <c r="H211" s="9" t="str">
        <f>IF(OR(G211=G210,BITWISE_XOR(G210,G211)=VALUE("111")),"",LEFT(G211,2))</f>
        <v/>
      </c>
      <c r="I211" s="9" t="str">
        <f>IF(OR(G211=G210,BITWISE_XOR(G210,G211)=VALUE("111")),"",RIGHT(G211,1))</f>
        <v/>
      </c>
      <c r="J211" s="9" t="b">
        <f>BITWISE_XOR(BIN2DEC(G210),7)=BIN2DEC(G211)</f>
        <v>0</v>
      </c>
      <c r="K211" s="9">
        <f t="shared" si="27"/>
        <v>2</v>
      </c>
      <c r="L211" s="9" t="str">
        <f t="shared" si="28"/>
        <v>1111</v>
      </c>
      <c r="M211" s="15" t="str">
        <f t="shared" si="29"/>
        <v/>
      </c>
      <c r="N211" t="str">
        <f t="shared" si="22"/>
        <v/>
      </c>
    </row>
    <row r="212" spans="4:14" x14ac:dyDescent="0.25">
      <c r="D212">
        <v>7</v>
      </c>
      <c r="E212" t="str">
        <f t="shared" si="30"/>
        <v>111</v>
      </c>
      <c r="G212" s="14" t="str">
        <f t="shared" si="26"/>
        <v>111</v>
      </c>
      <c r="H212" s="9" t="str">
        <f>IF(OR(G212=G211,BITWISE_XOR(G211,G212)=VALUE("111")),"",LEFT(G212,2))</f>
        <v/>
      </c>
      <c r="I212" s="9" t="str">
        <f>IF(OR(G212=G211,BITWISE_XOR(G211,G212)=VALUE("111")),"",RIGHT(G212,1))</f>
        <v/>
      </c>
      <c r="J212" s="9" t="b">
        <f>BITWISE_XOR(BIN2DEC(G211),7)=BIN2DEC(G212)</f>
        <v>0</v>
      </c>
      <c r="K212" s="9">
        <f t="shared" si="27"/>
        <v>2</v>
      </c>
      <c r="L212" s="9" t="str">
        <f t="shared" si="28"/>
        <v>1111</v>
      </c>
      <c r="M212" s="15" t="str">
        <f t="shared" si="29"/>
        <v/>
      </c>
      <c r="N212" t="str">
        <f t="shared" si="22"/>
        <v/>
      </c>
    </row>
    <row r="213" spans="4:14" x14ac:dyDescent="0.25">
      <c r="D213">
        <v>7</v>
      </c>
      <c r="E213" t="str">
        <f t="shared" si="30"/>
        <v>111</v>
      </c>
      <c r="G213" s="14" t="str">
        <f t="shared" si="26"/>
        <v>111</v>
      </c>
      <c r="H213" s="9" t="str">
        <f>IF(OR(G213=G212,BITWISE_XOR(G212,G213)=VALUE("111")),"",LEFT(G213,2))</f>
        <v/>
      </c>
      <c r="I213" s="9" t="str">
        <f>IF(OR(G213=G212,BITWISE_XOR(G212,G213)=VALUE("111")),"",RIGHT(G213,1))</f>
        <v/>
      </c>
      <c r="J213" s="9" t="b">
        <f>BITWISE_XOR(BIN2DEC(G212),7)=BIN2DEC(G213)</f>
        <v>0</v>
      </c>
      <c r="K213" s="9">
        <f t="shared" si="27"/>
        <v>2</v>
      </c>
      <c r="L213" s="9" t="str">
        <f t="shared" si="28"/>
        <v>1111</v>
      </c>
      <c r="M213" s="15" t="str">
        <f t="shared" si="29"/>
        <v/>
      </c>
      <c r="N213" t="str">
        <f t="shared" si="22"/>
        <v/>
      </c>
    </row>
    <row r="214" spans="4:14" x14ac:dyDescent="0.25">
      <c r="D214">
        <v>7</v>
      </c>
      <c r="E214" t="str">
        <f t="shared" si="30"/>
        <v>111</v>
      </c>
      <c r="G214" s="14" t="str">
        <f t="shared" si="26"/>
        <v>111</v>
      </c>
      <c r="H214" s="9" t="str">
        <f>IF(OR(G214=G213,BITWISE_XOR(G213,G214)=VALUE("111")),"",LEFT(G214,2))</f>
        <v/>
      </c>
      <c r="I214" s="9" t="str">
        <f>IF(OR(G214=G213,BITWISE_XOR(G213,G214)=VALUE("111")),"",RIGHT(G214,1))</f>
        <v/>
      </c>
      <c r="J214" s="9" t="b">
        <f>BITWISE_XOR(BIN2DEC(G213),7)=BIN2DEC(G214)</f>
        <v>0</v>
      </c>
      <c r="K214" s="9">
        <f t="shared" si="27"/>
        <v>2</v>
      </c>
      <c r="L214" s="9" t="str">
        <f t="shared" si="28"/>
        <v>1111</v>
      </c>
      <c r="M214" s="15" t="str">
        <f t="shared" si="29"/>
        <v/>
      </c>
      <c r="N214" t="str">
        <f t="shared" si="22"/>
        <v/>
      </c>
    </row>
    <row r="215" spans="4:14" x14ac:dyDescent="0.25">
      <c r="D215">
        <v>7</v>
      </c>
      <c r="E215" t="str">
        <f t="shared" si="30"/>
        <v>111</v>
      </c>
      <c r="G215" s="14" t="str">
        <f t="shared" si="26"/>
        <v>111</v>
      </c>
      <c r="H215" s="9" t="str">
        <f>IF(OR(G215=G214,BITWISE_XOR(G214,G215)=VALUE("111")),"",LEFT(G215,2))</f>
        <v/>
      </c>
      <c r="I215" s="9" t="str">
        <f>IF(OR(G215=G214,BITWISE_XOR(G214,G215)=VALUE("111")),"",RIGHT(G215,1))</f>
        <v/>
      </c>
      <c r="J215" s="9" t="b">
        <f>BITWISE_XOR(BIN2DEC(G214),7)=BIN2DEC(G215)</f>
        <v>0</v>
      </c>
      <c r="K215" s="9">
        <f t="shared" si="27"/>
        <v>2</v>
      </c>
      <c r="L215" s="9" t="str">
        <f t="shared" si="28"/>
        <v>1111</v>
      </c>
      <c r="M215" s="15" t="str">
        <f t="shared" si="29"/>
        <v/>
      </c>
      <c r="N215" t="str">
        <f t="shared" si="22"/>
        <v/>
      </c>
    </row>
    <row r="216" spans="4:14" x14ac:dyDescent="0.25">
      <c r="D216">
        <v>7</v>
      </c>
      <c r="E216" t="str">
        <f t="shared" si="30"/>
        <v>111</v>
      </c>
      <c r="G216" s="14" t="str">
        <f t="shared" si="26"/>
        <v>111</v>
      </c>
      <c r="H216" s="9" t="str">
        <f>IF(OR(G216=G215,BITWISE_XOR(G215,G216)=VALUE("111")),"",LEFT(G216,2))</f>
        <v/>
      </c>
      <c r="I216" s="9" t="str">
        <f>IF(OR(G216=G215,BITWISE_XOR(G215,G216)=VALUE("111")),"",RIGHT(G216,1))</f>
        <v/>
      </c>
      <c r="J216" s="9" t="b">
        <f>BITWISE_XOR(BIN2DEC(G215),7)=BIN2DEC(G216)</f>
        <v>0</v>
      </c>
      <c r="K216" s="9">
        <f t="shared" si="27"/>
        <v>2</v>
      </c>
      <c r="L216" s="9" t="str">
        <f t="shared" si="28"/>
        <v>1111</v>
      </c>
      <c r="M216" s="15" t="str">
        <f t="shared" si="29"/>
        <v/>
      </c>
      <c r="N216" t="str">
        <f t="shared" si="22"/>
        <v/>
      </c>
    </row>
    <row r="217" spans="4:14" x14ac:dyDescent="0.25">
      <c r="D217">
        <v>5</v>
      </c>
      <c r="E217" t="str">
        <f t="shared" si="30"/>
        <v>101</v>
      </c>
      <c r="G217" s="14" t="str">
        <f t="shared" si="26"/>
        <v>101</v>
      </c>
      <c r="H217" s="9" t="str">
        <f>IF(OR(G217=G216,BITWISE_XOR(G216,G217)=VALUE("111")),"",LEFT(G217,2))</f>
        <v>10</v>
      </c>
      <c r="I217" s="9" t="str">
        <f>IF(OR(G217=G216,BITWISE_XOR(G216,G217)=VALUE("111")),"",RIGHT(G217,1))</f>
        <v>1</v>
      </c>
      <c r="J217" s="9" t="b">
        <f>BITWISE_XOR(BIN2DEC(G216),7)=BIN2DEC(G217)</f>
        <v>0</v>
      </c>
      <c r="K217" s="9">
        <f t="shared" si="27"/>
        <v>3</v>
      </c>
      <c r="L217" s="9" t="str">
        <f t="shared" si="28"/>
        <v>101111</v>
      </c>
      <c r="M217" s="15" t="str">
        <f t="shared" si="29"/>
        <v/>
      </c>
      <c r="N217" t="str">
        <f t="shared" si="22"/>
        <v/>
      </c>
    </row>
    <row r="218" spans="4:14" x14ac:dyDescent="0.25">
      <c r="D218">
        <v>5</v>
      </c>
      <c r="E218" t="str">
        <f t="shared" si="30"/>
        <v>101</v>
      </c>
      <c r="G218" s="14" t="str">
        <f t="shared" si="26"/>
        <v>101</v>
      </c>
      <c r="H218" s="9" t="str">
        <f>IF(OR(G218=G217,BITWISE_XOR(G217,G218)=VALUE("111")),"",LEFT(G218,2))</f>
        <v/>
      </c>
      <c r="I218" s="9" t="str">
        <f>IF(OR(G218=G217,BITWISE_XOR(G217,G218)=VALUE("111")),"",RIGHT(G218,1))</f>
        <v/>
      </c>
      <c r="J218" s="9" t="b">
        <f>BITWISE_XOR(BIN2DEC(G217),7)=BIN2DEC(G218)</f>
        <v>0</v>
      </c>
      <c r="K218" s="9">
        <f t="shared" si="27"/>
        <v>3</v>
      </c>
      <c r="L218" s="9" t="str">
        <f t="shared" si="28"/>
        <v>101111</v>
      </c>
      <c r="M218" s="15" t="str">
        <f t="shared" si="29"/>
        <v/>
      </c>
      <c r="N218" t="str">
        <f t="shared" si="22"/>
        <v/>
      </c>
    </row>
    <row r="219" spans="4:14" x14ac:dyDescent="0.25">
      <c r="D219">
        <v>5</v>
      </c>
      <c r="E219" t="str">
        <f t="shared" si="30"/>
        <v>101</v>
      </c>
      <c r="G219" s="14" t="str">
        <f t="shared" si="26"/>
        <v>101</v>
      </c>
      <c r="H219" s="9" t="str">
        <f>IF(OR(G219=G218,BITWISE_XOR(G218,G219)=VALUE("111")),"",LEFT(G219,2))</f>
        <v/>
      </c>
      <c r="I219" s="9" t="str">
        <f>IF(OR(G219=G218,BITWISE_XOR(G218,G219)=VALUE("111")),"",RIGHT(G219,1))</f>
        <v/>
      </c>
      <c r="J219" s="9" t="b">
        <f>BITWISE_XOR(BIN2DEC(G218),7)=BIN2DEC(G219)</f>
        <v>0</v>
      </c>
      <c r="K219" s="9">
        <f t="shared" si="27"/>
        <v>3</v>
      </c>
      <c r="L219" s="9" t="str">
        <f t="shared" si="28"/>
        <v>101111</v>
      </c>
      <c r="M219" s="15" t="str">
        <f t="shared" si="29"/>
        <v/>
      </c>
      <c r="N219" t="str">
        <f t="shared" si="22"/>
        <v/>
      </c>
    </row>
    <row r="220" spans="4:14" x14ac:dyDescent="0.25">
      <c r="D220">
        <v>5</v>
      </c>
      <c r="E220" t="str">
        <f t="shared" si="30"/>
        <v>101</v>
      </c>
      <c r="G220" s="14" t="str">
        <f t="shared" si="26"/>
        <v>101</v>
      </c>
      <c r="H220" s="9" t="str">
        <f>IF(OR(G220=G219,BITWISE_XOR(G219,G220)=VALUE("111")),"",LEFT(G220,2))</f>
        <v/>
      </c>
      <c r="I220" s="9" t="str">
        <f>IF(OR(G220=G219,BITWISE_XOR(G219,G220)=VALUE("111")),"",RIGHT(G220,1))</f>
        <v/>
      </c>
      <c r="J220" s="9" t="b">
        <f>BITWISE_XOR(BIN2DEC(G219),7)=BIN2DEC(G220)</f>
        <v>0</v>
      </c>
      <c r="K220" s="9">
        <f t="shared" si="27"/>
        <v>3</v>
      </c>
      <c r="L220" s="9" t="str">
        <f t="shared" si="28"/>
        <v>101111</v>
      </c>
      <c r="M220" s="15" t="str">
        <f t="shared" si="29"/>
        <v/>
      </c>
      <c r="N220" t="str">
        <f t="shared" si="22"/>
        <v/>
      </c>
    </row>
    <row r="221" spans="4:14" x14ac:dyDescent="0.25">
      <c r="D221">
        <v>5</v>
      </c>
      <c r="E221" t="str">
        <f t="shared" si="30"/>
        <v>101</v>
      </c>
      <c r="G221" s="14" t="str">
        <f t="shared" si="26"/>
        <v>101</v>
      </c>
      <c r="H221" s="9" t="str">
        <f>IF(OR(G221=G220,BITWISE_XOR(G220,G221)=VALUE("111")),"",LEFT(G221,2))</f>
        <v/>
      </c>
      <c r="I221" s="9" t="str">
        <f>IF(OR(G221=G220,BITWISE_XOR(G220,G221)=VALUE("111")),"",RIGHT(G221,1))</f>
        <v/>
      </c>
      <c r="J221" s="9" t="b">
        <f>BITWISE_XOR(BIN2DEC(G220),7)=BIN2DEC(G221)</f>
        <v>0</v>
      </c>
      <c r="K221" s="9">
        <f t="shared" si="27"/>
        <v>3</v>
      </c>
      <c r="L221" s="9" t="str">
        <f t="shared" si="28"/>
        <v>101111</v>
      </c>
      <c r="M221" s="15" t="str">
        <f t="shared" si="29"/>
        <v/>
      </c>
      <c r="N221" t="str">
        <f t="shared" si="22"/>
        <v/>
      </c>
    </row>
    <row r="222" spans="4:14" x14ac:dyDescent="0.25">
      <c r="D222">
        <v>5</v>
      </c>
      <c r="E222" t="str">
        <f t="shared" si="30"/>
        <v>101</v>
      </c>
      <c r="G222" s="14" t="str">
        <f t="shared" si="26"/>
        <v>101</v>
      </c>
      <c r="H222" s="9" t="str">
        <f>IF(OR(G222=G221,BITWISE_XOR(G221,G222)=VALUE("111")),"",LEFT(G222,2))</f>
        <v/>
      </c>
      <c r="I222" s="9" t="str">
        <f>IF(OR(G222=G221,BITWISE_XOR(G221,G222)=VALUE("111")),"",RIGHT(G222,1))</f>
        <v/>
      </c>
      <c r="J222" s="9" t="b">
        <f>BITWISE_XOR(BIN2DEC(G221),7)=BIN2DEC(G222)</f>
        <v>0</v>
      </c>
      <c r="K222" s="9">
        <f t="shared" si="27"/>
        <v>3</v>
      </c>
      <c r="L222" s="9" t="str">
        <f t="shared" si="28"/>
        <v>101111</v>
      </c>
      <c r="M222" s="15" t="str">
        <f t="shared" si="29"/>
        <v/>
      </c>
      <c r="N222" t="str">
        <f t="shared" si="22"/>
        <v/>
      </c>
    </row>
    <row r="223" spans="4:14" x14ac:dyDescent="0.25">
      <c r="D223">
        <v>5</v>
      </c>
      <c r="E223" t="str">
        <f t="shared" si="30"/>
        <v>101</v>
      </c>
      <c r="G223" s="14" t="str">
        <f t="shared" si="26"/>
        <v>101</v>
      </c>
      <c r="H223" s="9" t="str">
        <f>IF(OR(G223=G222,BITWISE_XOR(G222,G223)=VALUE("111")),"",LEFT(G223,2))</f>
        <v/>
      </c>
      <c r="I223" s="9" t="str">
        <f>IF(OR(G223=G222,BITWISE_XOR(G222,G223)=VALUE("111")),"",RIGHT(G223,1))</f>
        <v/>
      </c>
      <c r="J223" s="9" t="b">
        <f>BITWISE_XOR(BIN2DEC(G222),7)=BIN2DEC(G223)</f>
        <v>0</v>
      </c>
      <c r="K223" s="9">
        <f t="shared" si="27"/>
        <v>3</v>
      </c>
      <c r="L223" s="9" t="str">
        <f t="shared" si="28"/>
        <v>101111</v>
      </c>
      <c r="M223" s="15" t="str">
        <f t="shared" si="29"/>
        <v/>
      </c>
      <c r="N223" t="str">
        <f t="shared" si="22"/>
        <v/>
      </c>
    </row>
    <row r="224" spans="4:14" x14ac:dyDescent="0.25">
      <c r="D224">
        <v>3</v>
      </c>
      <c r="E224" t="str">
        <f t="shared" si="30"/>
        <v>011</v>
      </c>
      <c r="G224" s="14" t="str">
        <f t="shared" si="26"/>
        <v>011</v>
      </c>
      <c r="H224" s="9" t="str">
        <f>IF(OR(G224=G223,BITWISE_XOR(G223,G224)=VALUE("111")),"",LEFT(G224,2))</f>
        <v>01</v>
      </c>
      <c r="I224" s="9" t="str">
        <f>IF(OR(G224=G223,BITWISE_XOR(G223,G224)=VALUE("111")),"",RIGHT(G224,1))</f>
        <v>1</v>
      </c>
      <c r="J224" s="9" t="b">
        <f>BITWISE_XOR(BIN2DEC(G223),7)=BIN2DEC(G224)</f>
        <v>0</v>
      </c>
      <c r="K224" s="9">
        <f t="shared" si="27"/>
        <v>0</v>
      </c>
      <c r="L224" s="9" t="str">
        <f t="shared" si="28"/>
        <v>01101111</v>
      </c>
      <c r="M224" s="15">
        <f t="shared" si="29"/>
        <v>111</v>
      </c>
      <c r="N224" t="str">
        <f t="shared" ref="N224:N287" si="31">IF(M224&lt;&gt;"",CHAR(M224),"")</f>
        <v>o</v>
      </c>
    </row>
    <row r="225" spans="4:14" x14ac:dyDescent="0.25">
      <c r="D225">
        <v>3</v>
      </c>
      <c r="E225" t="str">
        <f t="shared" si="30"/>
        <v>011</v>
      </c>
      <c r="G225" s="14" t="str">
        <f t="shared" si="26"/>
        <v>011</v>
      </c>
      <c r="H225" s="9" t="str">
        <f>IF(OR(G225=G224,BITWISE_XOR(G224,G225)=VALUE("111")),"",LEFT(G225,2))</f>
        <v/>
      </c>
      <c r="I225" s="9" t="str">
        <f>IF(OR(G225=G224,BITWISE_XOR(G224,G225)=VALUE("111")),"",RIGHT(G225,1))</f>
        <v/>
      </c>
      <c r="J225" s="9" t="b">
        <f>BITWISE_XOR(BIN2DEC(G224),7)=BIN2DEC(G225)</f>
        <v>0</v>
      </c>
      <c r="K225" s="9">
        <f t="shared" si="27"/>
        <v>0</v>
      </c>
      <c r="L225" s="9" t="str">
        <f t="shared" si="28"/>
        <v/>
      </c>
      <c r="M225" s="15" t="str">
        <f t="shared" si="29"/>
        <v/>
      </c>
      <c r="N225" t="str">
        <f t="shared" si="31"/>
        <v/>
      </c>
    </row>
    <row r="226" spans="4:14" x14ac:dyDescent="0.25">
      <c r="D226">
        <v>3</v>
      </c>
      <c r="E226" t="str">
        <f t="shared" si="30"/>
        <v>011</v>
      </c>
      <c r="G226" s="14" t="str">
        <f t="shared" si="26"/>
        <v>011</v>
      </c>
      <c r="H226" s="9" t="str">
        <f>IF(OR(G226=G225,BITWISE_XOR(G225,G226)=VALUE("111")),"",LEFT(G226,2))</f>
        <v/>
      </c>
      <c r="I226" s="9" t="str">
        <f>IF(OR(G226=G225,BITWISE_XOR(G225,G226)=VALUE("111")),"",RIGHT(G226,1))</f>
        <v/>
      </c>
      <c r="J226" s="9" t="b">
        <f>BITWISE_XOR(BIN2DEC(G225),7)=BIN2DEC(G226)</f>
        <v>0</v>
      </c>
      <c r="K226" s="9">
        <f t="shared" si="27"/>
        <v>0</v>
      </c>
      <c r="L226" s="9" t="str">
        <f t="shared" si="28"/>
        <v/>
      </c>
      <c r="M226" s="15" t="str">
        <f t="shared" si="29"/>
        <v/>
      </c>
      <c r="N226" t="str">
        <f t="shared" si="31"/>
        <v/>
      </c>
    </row>
    <row r="227" spans="4:14" x14ac:dyDescent="0.25">
      <c r="D227">
        <v>3</v>
      </c>
      <c r="E227" t="str">
        <f t="shared" si="30"/>
        <v>011</v>
      </c>
      <c r="G227" s="14" t="str">
        <f t="shared" si="26"/>
        <v>011</v>
      </c>
      <c r="H227" s="9" t="str">
        <f>IF(OR(G227=G226,BITWISE_XOR(G226,G227)=VALUE("111")),"",LEFT(G227,2))</f>
        <v/>
      </c>
      <c r="I227" s="9" t="str">
        <f>IF(OR(G227=G226,BITWISE_XOR(G226,G227)=VALUE("111")),"",RIGHT(G227,1))</f>
        <v/>
      </c>
      <c r="J227" s="9" t="b">
        <f>BITWISE_XOR(BIN2DEC(G226),7)=BIN2DEC(G227)</f>
        <v>0</v>
      </c>
      <c r="K227" s="9">
        <f t="shared" si="27"/>
        <v>0</v>
      </c>
      <c r="L227" s="9" t="str">
        <f t="shared" si="28"/>
        <v/>
      </c>
      <c r="M227" s="15" t="str">
        <f t="shared" si="29"/>
        <v/>
      </c>
      <c r="N227" t="str">
        <f t="shared" si="31"/>
        <v/>
      </c>
    </row>
    <row r="228" spans="4:14" x14ac:dyDescent="0.25">
      <c r="D228">
        <v>3</v>
      </c>
      <c r="E228" t="str">
        <f t="shared" si="30"/>
        <v>011</v>
      </c>
      <c r="G228" s="14" t="str">
        <f t="shared" si="26"/>
        <v>011</v>
      </c>
      <c r="H228" s="9" t="str">
        <f>IF(OR(G228=G227,BITWISE_XOR(G227,G228)=VALUE("111")),"",LEFT(G228,2))</f>
        <v/>
      </c>
      <c r="I228" s="9" t="str">
        <f>IF(OR(G228=G227,BITWISE_XOR(G227,G228)=VALUE("111")),"",RIGHT(G228,1))</f>
        <v/>
      </c>
      <c r="J228" s="9" t="b">
        <f>BITWISE_XOR(BIN2DEC(G227),7)=BIN2DEC(G228)</f>
        <v>0</v>
      </c>
      <c r="K228" s="9">
        <f t="shared" si="27"/>
        <v>0</v>
      </c>
      <c r="L228" s="9" t="str">
        <f t="shared" si="28"/>
        <v/>
      </c>
      <c r="M228" s="15" t="str">
        <f t="shared" si="29"/>
        <v/>
      </c>
      <c r="N228" t="str">
        <f t="shared" si="31"/>
        <v/>
      </c>
    </row>
    <row r="229" spans="4:14" x14ac:dyDescent="0.25">
      <c r="D229">
        <v>3</v>
      </c>
      <c r="E229" t="str">
        <f t="shared" si="30"/>
        <v>011</v>
      </c>
      <c r="G229" s="14" t="str">
        <f t="shared" si="26"/>
        <v>011</v>
      </c>
      <c r="H229" s="9" t="str">
        <f>IF(OR(G229=G228,BITWISE_XOR(G228,G229)=VALUE("111")),"",LEFT(G229,2))</f>
        <v/>
      </c>
      <c r="I229" s="9" t="str">
        <f>IF(OR(G229=G228,BITWISE_XOR(G228,G229)=VALUE("111")),"",RIGHT(G229,1))</f>
        <v/>
      </c>
      <c r="J229" s="9" t="b">
        <f>BITWISE_XOR(BIN2DEC(G228),7)=BIN2DEC(G229)</f>
        <v>0</v>
      </c>
      <c r="K229" s="9">
        <f t="shared" si="27"/>
        <v>0</v>
      </c>
      <c r="L229" s="9" t="str">
        <f t="shared" si="28"/>
        <v/>
      </c>
      <c r="M229" s="15" t="str">
        <f t="shared" si="29"/>
        <v/>
      </c>
      <c r="N229" t="str">
        <f t="shared" si="31"/>
        <v/>
      </c>
    </row>
    <row r="230" spans="4:14" x14ac:dyDescent="0.25">
      <c r="D230">
        <v>3</v>
      </c>
      <c r="E230" t="str">
        <f t="shared" si="30"/>
        <v>011</v>
      </c>
      <c r="G230" s="14" t="str">
        <f t="shared" si="26"/>
        <v>011</v>
      </c>
      <c r="H230" s="9" t="str">
        <f>IF(OR(G230=G229,BITWISE_XOR(G229,G230)=VALUE("111")),"",LEFT(G230,2))</f>
        <v/>
      </c>
      <c r="I230" s="9" t="str">
        <f>IF(OR(G230=G229,BITWISE_XOR(G229,G230)=VALUE("111")),"",RIGHT(G230,1))</f>
        <v/>
      </c>
      <c r="J230" s="9" t="b">
        <f>BITWISE_XOR(BIN2DEC(G229),7)=BIN2DEC(G230)</f>
        <v>0</v>
      </c>
      <c r="K230" s="9">
        <f t="shared" si="27"/>
        <v>0</v>
      </c>
      <c r="L230" s="9" t="str">
        <f t="shared" si="28"/>
        <v/>
      </c>
      <c r="M230" s="15" t="str">
        <f t="shared" si="29"/>
        <v/>
      </c>
      <c r="N230" t="str">
        <f t="shared" si="31"/>
        <v/>
      </c>
    </row>
    <row r="231" spans="4:14" x14ac:dyDescent="0.25">
      <c r="D231">
        <v>1</v>
      </c>
      <c r="E231" t="str">
        <f t="shared" si="30"/>
        <v>001</v>
      </c>
      <c r="G231" s="14" t="str">
        <f t="shared" si="26"/>
        <v>001</v>
      </c>
      <c r="H231" s="9" t="str">
        <f>IF(OR(G231=G230,BITWISE_XOR(G230,G231)=VALUE("111")),"",LEFT(G231,2))</f>
        <v>00</v>
      </c>
      <c r="I231" s="9" t="str">
        <f>IF(OR(G231=G230,BITWISE_XOR(G230,G231)=VALUE("111")),"",RIGHT(G231,1))</f>
        <v>1</v>
      </c>
      <c r="J231" s="9" t="b">
        <f>BITWISE_XOR(BIN2DEC(G230),7)=BIN2DEC(G231)</f>
        <v>0</v>
      </c>
      <c r="K231" s="9">
        <f t="shared" si="27"/>
        <v>1</v>
      </c>
      <c r="L231" s="9" t="str">
        <f t="shared" si="28"/>
        <v>00</v>
      </c>
      <c r="M231" s="15" t="str">
        <f t="shared" si="29"/>
        <v/>
      </c>
      <c r="N231" t="str">
        <f t="shared" si="31"/>
        <v/>
      </c>
    </row>
    <row r="232" spans="4:14" x14ac:dyDescent="0.25">
      <c r="D232">
        <v>1</v>
      </c>
      <c r="E232" t="str">
        <f t="shared" si="30"/>
        <v>001</v>
      </c>
      <c r="G232" s="14" t="str">
        <f t="shared" ref="G232:G295" si="32">E232</f>
        <v>001</v>
      </c>
      <c r="H232" s="9" t="str">
        <f>IF(OR(G232=G231,BITWISE_XOR(G231,G232)=VALUE("111")),"",LEFT(G232,2))</f>
        <v/>
      </c>
      <c r="I232" s="9" t="str">
        <f>IF(OR(G232=G231,BITWISE_XOR(G231,G232)=VALUE("111")),"",RIGHT(G232,1))</f>
        <v/>
      </c>
      <c r="J232" s="9" t="b">
        <f>BITWISE_XOR(BIN2DEC(G231),7)=BIN2DEC(G232)</f>
        <v>0</v>
      </c>
      <c r="K232" s="9">
        <f t="shared" ref="K232:K295" si="33">IF(J232=TRUE,0,(IF((H232=""),K231,MOD((K231+1),4))))</f>
        <v>1</v>
      </c>
      <c r="L232" s="9" t="str">
        <f t="shared" ref="L232:L295" si="34">IF(K232=K231,IF(K231=0,H232,L231),IF(K232=1,H232,CONCATENATE(H232,L231)))</f>
        <v>00</v>
      </c>
      <c r="M232" s="15" t="str">
        <f t="shared" ref="M232:M295" si="35">IF(AND(K232=0,K231=3),BIN2DEC(L232),"")</f>
        <v/>
      </c>
      <c r="N232" t="str">
        <f t="shared" si="31"/>
        <v/>
      </c>
    </row>
    <row r="233" spans="4:14" x14ac:dyDescent="0.25">
      <c r="D233">
        <v>1</v>
      </c>
      <c r="E233" t="str">
        <f t="shared" si="30"/>
        <v>001</v>
      </c>
      <c r="G233" s="14" t="str">
        <f t="shared" si="32"/>
        <v>001</v>
      </c>
      <c r="H233" s="9" t="str">
        <f>IF(OR(G233=G232,BITWISE_XOR(G232,G233)=VALUE("111")),"",LEFT(G233,2))</f>
        <v/>
      </c>
      <c r="I233" s="9" t="str">
        <f>IF(OR(G233=G232,BITWISE_XOR(G232,G233)=VALUE("111")),"",RIGHT(G233,1))</f>
        <v/>
      </c>
      <c r="J233" s="9" t="b">
        <f>BITWISE_XOR(BIN2DEC(G232),7)=BIN2DEC(G233)</f>
        <v>0</v>
      </c>
      <c r="K233" s="9">
        <f t="shared" si="33"/>
        <v>1</v>
      </c>
      <c r="L233" s="9" t="str">
        <f t="shared" si="34"/>
        <v>00</v>
      </c>
      <c r="M233" s="15" t="str">
        <f t="shared" si="35"/>
        <v/>
      </c>
      <c r="N233" t="str">
        <f t="shared" si="31"/>
        <v/>
      </c>
    </row>
    <row r="234" spans="4:14" x14ac:dyDescent="0.25">
      <c r="D234">
        <v>1</v>
      </c>
      <c r="E234" t="str">
        <f t="shared" si="30"/>
        <v>001</v>
      </c>
      <c r="G234" s="14" t="str">
        <f t="shared" si="32"/>
        <v>001</v>
      </c>
      <c r="H234" s="9" t="str">
        <f>IF(OR(G234=G233,BITWISE_XOR(G233,G234)=VALUE("111")),"",LEFT(G234,2))</f>
        <v/>
      </c>
      <c r="I234" s="9" t="str">
        <f>IF(OR(G234=G233,BITWISE_XOR(G233,G234)=VALUE("111")),"",RIGHT(G234,1))</f>
        <v/>
      </c>
      <c r="J234" s="9" t="b">
        <f>BITWISE_XOR(BIN2DEC(G233),7)=BIN2DEC(G234)</f>
        <v>0</v>
      </c>
      <c r="K234" s="9">
        <f t="shared" si="33"/>
        <v>1</v>
      </c>
      <c r="L234" s="9" t="str">
        <f t="shared" si="34"/>
        <v>00</v>
      </c>
      <c r="M234" s="15" t="str">
        <f t="shared" si="35"/>
        <v/>
      </c>
      <c r="N234" t="str">
        <f t="shared" si="31"/>
        <v/>
      </c>
    </row>
    <row r="235" spans="4:14" x14ac:dyDescent="0.25">
      <c r="D235">
        <v>1</v>
      </c>
      <c r="E235" t="str">
        <f t="shared" si="30"/>
        <v>001</v>
      </c>
      <c r="G235" s="14" t="str">
        <f t="shared" si="32"/>
        <v>001</v>
      </c>
      <c r="H235" s="9" t="str">
        <f>IF(OR(G235=G234,BITWISE_XOR(G234,G235)=VALUE("111")),"",LEFT(G235,2))</f>
        <v/>
      </c>
      <c r="I235" s="9" t="str">
        <f>IF(OR(G235=G234,BITWISE_XOR(G234,G235)=VALUE("111")),"",RIGHT(G235,1))</f>
        <v/>
      </c>
      <c r="J235" s="9" t="b">
        <f>BITWISE_XOR(BIN2DEC(G234),7)=BIN2DEC(G235)</f>
        <v>0</v>
      </c>
      <c r="K235" s="9">
        <f t="shared" si="33"/>
        <v>1</v>
      </c>
      <c r="L235" s="9" t="str">
        <f t="shared" si="34"/>
        <v>00</v>
      </c>
      <c r="M235" s="15" t="str">
        <f t="shared" si="35"/>
        <v/>
      </c>
      <c r="N235" t="str">
        <f t="shared" si="31"/>
        <v/>
      </c>
    </row>
    <row r="236" spans="4:14" x14ac:dyDescent="0.25">
      <c r="D236">
        <v>1</v>
      </c>
      <c r="E236" t="str">
        <f t="shared" si="30"/>
        <v>001</v>
      </c>
      <c r="G236" s="14" t="str">
        <f t="shared" si="32"/>
        <v>001</v>
      </c>
      <c r="H236" s="9" t="str">
        <f>IF(OR(G236=G235,BITWISE_XOR(G235,G236)=VALUE("111")),"",LEFT(G236,2))</f>
        <v/>
      </c>
      <c r="I236" s="9" t="str">
        <f>IF(OR(G236=G235,BITWISE_XOR(G235,G236)=VALUE("111")),"",RIGHT(G236,1))</f>
        <v/>
      </c>
      <c r="J236" s="9" t="b">
        <f>BITWISE_XOR(BIN2DEC(G235),7)=BIN2DEC(G236)</f>
        <v>0</v>
      </c>
      <c r="K236" s="9">
        <f t="shared" si="33"/>
        <v>1</v>
      </c>
      <c r="L236" s="9" t="str">
        <f t="shared" si="34"/>
        <v>00</v>
      </c>
      <c r="M236" s="15" t="str">
        <f t="shared" si="35"/>
        <v/>
      </c>
      <c r="N236" t="str">
        <f t="shared" si="31"/>
        <v/>
      </c>
    </row>
    <row r="237" spans="4:14" x14ac:dyDescent="0.25">
      <c r="D237">
        <v>1</v>
      </c>
      <c r="E237" t="str">
        <f t="shared" si="30"/>
        <v>001</v>
      </c>
      <c r="G237" s="14" t="str">
        <f t="shared" si="32"/>
        <v>001</v>
      </c>
      <c r="H237" s="9" t="str">
        <f>IF(OR(G237=G236,BITWISE_XOR(G236,G237)=VALUE("111")),"",LEFT(G237,2))</f>
        <v/>
      </c>
      <c r="I237" s="9" t="str">
        <f>IF(OR(G237=G236,BITWISE_XOR(G236,G237)=VALUE("111")),"",RIGHT(G237,1))</f>
        <v/>
      </c>
      <c r="J237" s="9" t="b">
        <f>BITWISE_XOR(BIN2DEC(G236),7)=BIN2DEC(G237)</f>
        <v>0</v>
      </c>
      <c r="K237" s="9">
        <f t="shared" si="33"/>
        <v>1</v>
      </c>
      <c r="L237" s="9" t="str">
        <f t="shared" si="34"/>
        <v>00</v>
      </c>
      <c r="M237" s="15" t="str">
        <f t="shared" si="35"/>
        <v/>
      </c>
      <c r="N237" t="str">
        <f t="shared" si="31"/>
        <v/>
      </c>
    </row>
    <row r="238" spans="4:14" x14ac:dyDescent="0.25">
      <c r="D238">
        <v>0</v>
      </c>
      <c r="E238" t="str">
        <f t="shared" si="30"/>
        <v>000</v>
      </c>
      <c r="G238" s="14" t="str">
        <f t="shared" si="32"/>
        <v>000</v>
      </c>
      <c r="H238" s="9" t="str">
        <f>IF(OR(G238=G237,BITWISE_XOR(G237,G238)=VALUE("111")),"",LEFT(G238,2))</f>
        <v>00</v>
      </c>
      <c r="I238" s="9" t="str">
        <f>IF(OR(G238=G237,BITWISE_XOR(G237,G238)=VALUE("111")),"",RIGHT(G238,1))</f>
        <v>0</v>
      </c>
      <c r="J238" s="9" t="b">
        <f>BITWISE_XOR(BIN2DEC(G237),7)=BIN2DEC(G238)</f>
        <v>0</v>
      </c>
      <c r="K238" s="9">
        <f t="shared" si="33"/>
        <v>2</v>
      </c>
      <c r="L238" s="9" t="str">
        <f t="shared" si="34"/>
        <v>0000</v>
      </c>
      <c r="M238" s="15" t="str">
        <f t="shared" si="35"/>
        <v/>
      </c>
      <c r="N238" t="str">
        <f t="shared" si="31"/>
        <v/>
      </c>
    </row>
    <row r="239" spans="4:14" x14ac:dyDescent="0.25">
      <c r="D239">
        <v>0</v>
      </c>
      <c r="E239" t="str">
        <f t="shared" si="30"/>
        <v>000</v>
      </c>
      <c r="G239" s="14" t="str">
        <f t="shared" si="32"/>
        <v>000</v>
      </c>
      <c r="H239" s="9" t="str">
        <f>IF(OR(G239=G238,BITWISE_XOR(G238,G239)=VALUE("111")),"",LEFT(G239,2))</f>
        <v/>
      </c>
      <c r="I239" s="9" t="str">
        <f>IF(OR(G239=G238,BITWISE_XOR(G238,G239)=VALUE("111")),"",RIGHT(G239,1))</f>
        <v/>
      </c>
      <c r="J239" s="9" t="b">
        <f>BITWISE_XOR(BIN2DEC(G238),7)=BIN2DEC(G239)</f>
        <v>0</v>
      </c>
      <c r="K239" s="9">
        <f t="shared" si="33"/>
        <v>2</v>
      </c>
      <c r="L239" s="9" t="str">
        <f t="shared" si="34"/>
        <v>0000</v>
      </c>
      <c r="M239" s="15" t="str">
        <f t="shared" si="35"/>
        <v/>
      </c>
      <c r="N239" t="str">
        <f t="shared" si="31"/>
        <v/>
      </c>
    </row>
    <row r="240" spans="4:14" x14ac:dyDescent="0.25">
      <c r="D240">
        <v>0</v>
      </c>
      <c r="E240" t="str">
        <f t="shared" si="30"/>
        <v>000</v>
      </c>
      <c r="G240" s="14" t="str">
        <f t="shared" si="32"/>
        <v>000</v>
      </c>
      <c r="H240" s="9" t="str">
        <f>IF(OR(G240=G239,BITWISE_XOR(G239,G240)=VALUE("111")),"",LEFT(G240,2))</f>
        <v/>
      </c>
      <c r="I240" s="9" t="str">
        <f>IF(OR(G240=G239,BITWISE_XOR(G239,G240)=VALUE("111")),"",RIGHT(G240,1))</f>
        <v/>
      </c>
      <c r="J240" s="9" t="b">
        <f>BITWISE_XOR(BIN2DEC(G239),7)=BIN2DEC(G240)</f>
        <v>0</v>
      </c>
      <c r="K240" s="9">
        <f t="shared" si="33"/>
        <v>2</v>
      </c>
      <c r="L240" s="9" t="str">
        <f t="shared" si="34"/>
        <v>0000</v>
      </c>
      <c r="M240" s="15" t="str">
        <f t="shared" si="35"/>
        <v/>
      </c>
      <c r="N240" t="str">
        <f t="shared" si="31"/>
        <v/>
      </c>
    </row>
    <row r="241" spans="4:14" x14ac:dyDescent="0.25">
      <c r="D241">
        <v>0</v>
      </c>
      <c r="E241" t="str">
        <f t="shared" ref="E241:E304" si="36">DEC2BIN(D241,3)</f>
        <v>000</v>
      </c>
      <c r="G241" s="14" t="str">
        <f t="shared" si="32"/>
        <v>000</v>
      </c>
      <c r="H241" s="9" t="str">
        <f>IF(OR(G241=G240,BITWISE_XOR(G240,G241)=VALUE("111")),"",LEFT(G241,2))</f>
        <v/>
      </c>
      <c r="I241" s="9" t="str">
        <f>IF(OR(G241=G240,BITWISE_XOR(G240,G241)=VALUE("111")),"",RIGHT(G241,1))</f>
        <v/>
      </c>
      <c r="J241" s="9" t="b">
        <f>BITWISE_XOR(BIN2DEC(G240),7)=BIN2DEC(G241)</f>
        <v>0</v>
      </c>
      <c r="K241" s="9">
        <f t="shared" si="33"/>
        <v>2</v>
      </c>
      <c r="L241" s="9" t="str">
        <f t="shared" si="34"/>
        <v>0000</v>
      </c>
      <c r="M241" s="15" t="str">
        <f t="shared" si="35"/>
        <v/>
      </c>
      <c r="N241" t="str">
        <f t="shared" si="31"/>
        <v/>
      </c>
    </row>
    <row r="242" spans="4:14" x14ac:dyDescent="0.25">
      <c r="D242">
        <v>0</v>
      </c>
      <c r="E242" t="str">
        <f t="shared" si="36"/>
        <v>000</v>
      </c>
      <c r="G242" s="14" t="str">
        <f t="shared" si="32"/>
        <v>000</v>
      </c>
      <c r="H242" s="9" t="str">
        <f>IF(OR(G242=G241,BITWISE_XOR(G241,G242)=VALUE("111")),"",LEFT(G242,2))</f>
        <v/>
      </c>
      <c r="I242" s="9" t="str">
        <f>IF(OR(G242=G241,BITWISE_XOR(G241,G242)=VALUE("111")),"",RIGHT(G242,1))</f>
        <v/>
      </c>
      <c r="J242" s="9" t="b">
        <f>BITWISE_XOR(BIN2DEC(G241),7)=BIN2DEC(G242)</f>
        <v>0</v>
      </c>
      <c r="K242" s="9">
        <f t="shared" si="33"/>
        <v>2</v>
      </c>
      <c r="L242" s="9" t="str">
        <f t="shared" si="34"/>
        <v>0000</v>
      </c>
      <c r="M242" s="15" t="str">
        <f t="shared" si="35"/>
        <v/>
      </c>
      <c r="N242" t="str">
        <f t="shared" si="31"/>
        <v/>
      </c>
    </row>
    <row r="243" spans="4:14" x14ac:dyDescent="0.25">
      <c r="D243">
        <v>0</v>
      </c>
      <c r="E243" t="str">
        <f t="shared" si="36"/>
        <v>000</v>
      </c>
      <c r="G243" s="14" t="str">
        <f t="shared" si="32"/>
        <v>000</v>
      </c>
      <c r="H243" s="9" t="str">
        <f>IF(OR(G243=G242,BITWISE_XOR(G242,G243)=VALUE("111")),"",LEFT(G243,2))</f>
        <v/>
      </c>
      <c r="I243" s="9" t="str">
        <f>IF(OR(G243=G242,BITWISE_XOR(G242,G243)=VALUE("111")),"",RIGHT(G243,1))</f>
        <v/>
      </c>
      <c r="J243" s="9" t="b">
        <f>BITWISE_XOR(BIN2DEC(G242),7)=BIN2DEC(G243)</f>
        <v>0</v>
      </c>
      <c r="K243" s="9">
        <f t="shared" si="33"/>
        <v>2</v>
      </c>
      <c r="L243" s="9" t="str">
        <f t="shared" si="34"/>
        <v>0000</v>
      </c>
      <c r="M243" s="15" t="str">
        <f t="shared" si="35"/>
        <v/>
      </c>
      <c r="N243" t="str">
        <f t="shared" si="31"/>
        <v/>
      </c>
    </row>
    <row r="244" spans="4:14" x14ac:dyDescent="0.25">
      <c r="D244">
        <v>0</v>
      </c>
      <c r="E244" t="str">
        <f t="shared" si="36"/>
        <v>000</v>
      </c>
      <c r="G244" s="14" t="str">
        <f t="shared" si="32"/>
        <v>000</v>
      </c>
      <c r="H244" s="9" t="str">
        <f>IF(OR(G244=G243,BITWISE_XOR(G243,G244)=VALUE("111")),"",LEFT(G244,2))</f>
        <v/>
      </c>
      <c r="I244" s="9" t="str">
        <f>IF(OR(G244=G243,BITWISE_XOR(G243,G244)=VALUE("111")),"",RIGHT(G244,1))</f>
        <v/>
      </c>
      <c r="J244" s="9" t="b">
        <f>BITWISE_XOR(BIN2DEC(G243),7)=BIN2DEC(G244)</f>
        <v>0</v>
      </c>
      <c r="K244" s="9">
        <f t="shared" si="33"/>
        <v>2</v>
      </c>
      <c r="L244" s="9" t="str">
        <f t="shared" si="34"/>
        <v>0000</v>
      </c>
      <c r="M244" s="15" t="str">
        <f t="shared" si="35"/>
        <v/>
      </c>
      <c r="N244" t="str">
        <f t="shared" si="31"/>
        <v/>
      </c>
    </row>
    <row r="245" spans="4:14" x14ac:dyDescent="0.25">
      <c r="D245">
        <v>4</v>
      </c>
      <c r="E245" t="str">
        <f t="shared" si="36"/>
        <v>100</v>
      </c>
      <c r="G245" s="14" t="str">
        <f t="shared" si="32"/>
        <v>100</v>
      </c>
      <c r="H245" s="9" t="str">
        <f>IF(OR(G245=G244,BITWISE_XOR(G244,G245)=VALUE("111")),"",LEFT(G245,2))</f>
        <v>10</v>
      </c>
      <c r="I245" s="9" t="str">
        <f>IF(OR(G245=G244,BITWISE_XOR(G244,G245)=VALUE("111")),"",RIGHT(G245,1))</f>
        <v>0</v>
      </c>
      <c r="J245" s="9" t="b">
        <f>BITWISE_XOR(BIN2DEC(G244),7)=BIN2DEC(G245)</f>
        <v>0</v>
      </c>
      <c r="K245" s="9">
        <f t="shared" si="33"/>
        <v>3</v>
      </c>
      <c r="L245" s="9" t="str">
        <f t="shared" si="34"/>
        <v>100000</v>
      </c>
      <c r="M245" s="15" t="str">
        <f t="shared" si="35"/>
        <v/>
      </c>
      <c r="N245" t="str">
        <f t="shared" si="31"/>
        <v/>
      </c>
    </row>
    <row r="246" spans="4:14" x14ac:dyDescent="0.25">
      <c r="D246">
        <v>4</v>
      </c>
      <c r="E246" t="str">
        <f t="shared" si="36"/>
        <v>100</v>
      </c>
      <c r="G246" s="14" t="str">
        <f t="shared" si="32"/>
        <v>100</v>
      </c>
      <c r="H246" s="9" t="str">
        <f>IF(OR(G246=G245,BITWISE_XOR(G245,G246)=VALUE("111")),"",LEFT(G246,2))</f>
        <v/>
      </c>
      <c r="I246" s="9" t="str">
        <f>IF(OR(G246=G245,BITWISE_XOR(G245,G246)=VALUE("111")),"",RIGHT(G246,1))</f>
        <v/>
      </c>
      <c r="J246" s="9" t="b">
        <f>BITWISE_XOR(BIN2DEC(G245),7)=BIN2DEC(G246)</f>
        <v>0</v>
      </c>
      <c r="K246" s="9">
        <f t="shared" si="33"/>
        <v>3</v>
      </c>
      <c r="L246" s="9" t="str">
        <f t="shared" si="34"/>
        <v>100000</v>
      </c>
      <c r="M246" s="15" t="str">
        <f t="shared" si="35"/>
        <v/>
      </c>
      <c r="N246" t="str">
        <f t="shared" si="31"/>
        <v/>
      </c>
    </row>
    <row r="247" spans="4:14" x14ac:dyDescent="0.25">
      <c r="D247">
        <v>4</v>
      </c>
      <c r="E247" t="str">
        <f t="shared" si="36"/>
        <v>100</v>
      </c>
      <c r="G247" s="14" t="str">
        <f t="shared" si="32"/>
        <v>100</v>
      </c>
      <c r="H247" s="9" t="str">
        <f>IF(OR(G247=G246,BITWISE_XOR(G246,G247)=VALUE("111")),"",LEFT(G247,2))</f>
        <v/>
      </c>
      <c r="I247" s="9" t="str">
        <f>IF(OR(G247=G246,BITWISE_XOR(G246,G247)=VALUE("111")),"",RIGHT(G247,1))</f>
        <v/>
      </c>
      <c r="J247" s="9" t="b">
        <f>BITWISE_XOR(BIN2DEC(G246),7)=BIN2DEC(G247)</f>
        <v>0</v>
      </c>
      <c r="K247" s="9">
        <f t="shared" si="33"/>
        <v>3</v>
      </c>
      <c r="L247" s="9" t="str">
        <f t="shared" si="34"/>
        <v>100000</v>
      </c>
      <c r="M247" s="15" t="str">
        <f t="shared" si="35"/>
        <v/>
      </c>
      <c r="N247" t="str">
        <f t="shared" si="31"/>
        <v/>
      </c>
    </row>
    <row r="248" spans="4:14" x14ac:dyDescent="0.25">
      <c r="D248">
        <v>4</v>
      </c>
      <c r="E248" t="str">
        <f t="shared" si="36"/>
        <v>100</v>
      </c>
      <c r="G248" s="14" t="str">
        <f t="shared" si="32"/>
        <v>100</v>
      </c>
      <c r="H248" s="9" t="str">
        <f>IF(OR(G248=G247,BITWISE_XOR(G247,G248)=VALUE("111")),"",LEFT(G248,2))</f>
        <v/>
      </c>
      <c r="I248" s="9" t="str">
        <f>IF(OR(G248=G247,BITWISE_XOR(G247,G248)=VALUE("111")),"",RIGHT(G248,1))</f>
        <v/>
      </c>
      <c r="J248" s="9" t="b">
        <f>BITWISE_XOR(BIN2DEC(G247),7)=BIN2DEC(G248)</f>
        <v>0</v>
      </c>
      <c r="K248" s="9">
        <f t="shared" si="33"/>
        <v>3</v>
      </c>
      <c r="L248" s="9" t="str">
        <f t="shared" si="34"/>
        <v>100000</v>
      </c>
      <c r="M248" s="15" t="str">
        <f t="shared" si="35"/>
        <v/>
      </c>
      <c r="N248" t="str">
        <f t="shared" si="31"/>
        <v/>
      </c>
    </row>
    <row r="249" spans="4:14" x14ac:dyDescent="0.25">
      <c r="D249">
        <v>4</v>
      </c>
      <c r="E249" t="str">
        <f t="shared" si="36"/>
        <v>100</v>
      </c>
      <c r="G249" s="14" t="str">
        <f t="shared" si="32"/>
        <v>100</v>
      </c>
      <c r="H249" s="9" t="str">
        <f>IF(OR(G249=G248,BITWISE_XOR(G248,G249)=VALUE("111")),"",LEFT(G249,2))</f>
        <v/>
      </c>
      <c r="I249" s="9" t="str">
        <f>IF(OR(G249=G248,BITWISE_XOR(G248,G249)=VALUE("111")),"",RIGHT(G249,1))</f>
        <v/>
      </c>
      <c r="J249" s="9" t="b">
        <f>BITWISE_XOR(BIN2DEC(G248),7)=BIN2DEC(G249)</f>
        <v>0</v>
      </c>
      <c r="K249" s="9">
        <f t="shared" si="33"/>
        <v>3</v>
      </c>
      <c r="L249" s="9" t="str">
        <f t="shared" si="34"/>
        <v>100000</v>
      </c>
      <c r="M249" s="15" t="str">
        <f t="shared" si="35"/>
        <v/>
      </c>
      <c r="N249" t="str">
        <f t="shared" si="31"/>
        <v/>
      </c>
    </row>
    <row r="250" spans="4:14" x14ac:dyDescent="0.25">
      <c r="D250">
        <v>4</v>
      </c>
      <c r="E250" t="str">
        <f t="shared" si="36"/>
        <v>100</v>
      </c>
      <c r="G250" s="14" t="str">
        <f t="shared" si="32"/>
        <v>100</v>
      </c>
      <c r="H250" s="9" t="str">
        <f>IF(OR(G250=G249,BITWISE_XOR(G249,G250)=VALUE("111")),"",LEFT(G250,2))</f>
        <v/>
      </c>
      <c r="I250" s="9" t="str">
        <f>IF(OR(G250=G249,BITWISE_XOR(G249,G250)=VALUE("111")),"",RIGHT(G250,1))</f>
        <v/>
      </c>
      <c r="J250" s="9" t="b">
        <f>BITWISE_XOR(BIN2DEC(G249),7)=BIN2DEC(G250)</f>
        <v>0</v>
      </c>
      <c r="K250" s="9">
        <f t="shared" si="33"/>
        <v>3</v>
      </c>
      <c r="L250" s="9" t="str">
        <f t="shared" si="34"/>
        <v>100000</v>
      </c>
      <c r="M250" s="15" t="str">
        <f t="shared" si="35"/>
        <v/>
      </c>
      <c r="N250" t="str">
        <f t="shared" si="31"/>
        <v/>
      </c>
    </row>
    <row r="251" spans="4:14" x14ac:dyDescent="0.25">
      <c r="D251">
        <v>4</v>
      </c>
      <c r="E251" t="str">
        <f t="shared" si="36"/>
        <v>100</v>
      </c>
      <c r="G251" s="14" t="str">
        <f t="shared" si="32"/>
        <v>100</v>
      </c>
      <c r="H251" s="9" t="str">
        <f>IF(OR(G251=G250,BITWISE_XOR(G250,G251)=VALUE("111")),"",LEFT(G251,2))</f>
        <v/>
      </c>
      <c r="I251" s="9" t="str">
        <f>IF(OR(G251=G250,BITWISE_XOR(G250,G251)=VALUE("111")),"",RIGHT(G251,1))</f>
        <v/>
      </c>
      <c r="J251" s="9" t="b">
        <f>BITWISE_XOR(BIN2DEC(G250),7)=BIN2DEC(G251)</f>
        <v>0</v>
      </c>
      <c r="K251" s="9">
        <f t="shared" si="33"/>
        <v>3</v>
      </c>
      <c r="L251" s="9" t="str">
        <f t="shared" si="34"/>
        <v>100000</v>
      </c>
      <c r="M251" s="15" t="str">
        <f t="shared" si="35"/>
        <v/>
      </c>
      <c r="N251" t="str">
        <f t="shared" si="31"/>
        <v/>
      </c>
    </row>
    <row r="252" spans="4:14" x14ac:dyDescent="0.25">
      <c r="D252">
        <v>0</v>
      </c>
      <c r="E252" t="str">
        <f t="shared" si="36"/>
        <v>000</v>
      </c>
      <c r="G252" s="14" t="str">
        <f t="shared" si="32"/>
        <v>000</v>
      </c>
      <c r="H252" s="9" t="str">
        <f>IF(OR(G252=G251,BITWISE_XOR(G251,G252)=VALUE("111")),"",LEFT(G252,2))</f>
        <v>00</v>
      </c>
      <c r="I252" s="9" t="str">
        <f>IF(OR(G252=G251,BITWISE_XOR(G251,G252)=VALUE("111")),"",RIGHT(G252,1))</f>
        <v>0</v>
      </c>
      <c r="J252" s="9" t="b">
        <f>BITWISE_XOR(BIN2DEC(G251),7)=BIN2DEC(G252)</f>
        <v>0</v>
      </c>
      <c r="K252" s="9">
        <f t="shared" si="33"/>
        <v>0</v>
      </c>
      <c r="L252" s="9" t="str">
        <f t="shared" si="34"/>
        <v>00100000</v>
      </c>
      <c r="M252" s="15">
        <f t="shared" si="35"/>
        <v>32</v>
      </c>
      <c r="N252" t="str">
        <f t="shared" si="31"/>
        <v xml:space="preserve"> </v>
      </c>
    </row>
    <row r="253" spans="4:14" x14ac:dyDescent="0.25">
      <c r="D253">
        <v>0</v>
      </c>
      <c r="E253" t="str">
        <f t="shared" si="36"/>
        <v>000</v>
      </c>
      <c r="G253" s="14" t="str">
        <f t="shared" si="32"/>
        <v>000</v>
      </c>
      <c r="H253" s="9" t="str">
        <f>IF(OR(G253=G252,BITWISE_XOR(G252,G253)=VALUE("111")),"",LEFT(G253,2))</f>
        <v/>
      </c>
      <c r="I253" s="9" t="str">
        <f>IF(OR(G253=G252,BITWISE_XOR(G252,G253)=VALUE("111")),"",RIGHT(G253,1))</f>
        <v/>
      </c>
      <c r="J253" s="9" t="b">
        <f>BITWISE_XOR(BIN2DEC(G252),7)=BIN2DEC(G253)</f>
        <v>0</v>
      </c>
      <c r="K253" s="9">
        <f t="shared" si="33"/>
        <v>0</v>
      </c>
      <c r="L253" s="9" t="str">
        <f t="shared" si="34"/>
        <v/>
      </c>
      <c r="M253" s="15" t="str">
        <f t="shared" si="35"/>
        <v/>
      </c>
      <c r="N253" t="str">
        <f t="shared" si="31"/>
        <v/>
      </c>
    </row>
    <row r="254" spans="4:14" x14ac:dyDescent="0.25">
      <c r="D254">
        <v>0</v>
      </c>
      <c r="E254" t="str">
        <f t="shared" si="36"/>
        <v>000</v>
      </c>
      <c r="G254" s="14" t="str">
        <f t="shared" si="32"/>
        <v>000</v>
      </c>
      <c r="H254" s="9" t="str">
        <f>IF(OR(G254=G253,BITWISE_XOR(G253,G254)=VALUE("111")),"",LEFT(G254,2))</f>
        <v/>
      </c>
      <c r="I254" s="9" t="str">
        <f>IF(OR(G254=G253,BITWISE_XOR(G253,G254)=VALUE("111")),"",RIGHT(G254,1))</f>
        <v/>
      </c>
      <c r="J254" s="9" t="b">
        <f>BITWISE_XOR(BIN2DEC(G253),7)=BIN2DEC(G254)</f>
        <v>0</v>
      </c>
      <c r="K254" s="9">
        <f t="shared" si="33"/>
        <v>0</v>
      </c>
      <c r="L254" s="9" t="str">
        <f t="shared" si="34"/>
        <v/>
      </c>
      <c r="M254" s="15" t="str">
        <f t="shared" si="35"/>
        <v/>
      </c>
      <c r="N254" t="str">
        <f t="shared" si="31"/>
        <v/>
      </c>
    </row>
    <row r="255" spans="4:14" x14ac:dyDescent="0.25">
      <c r="D255">
        <v>0</v>
      </c>
      <c r="E255" t="str">
        <f t="shared" si="36"/>
        <v>000</v>
      </c>
      <c r="G255" s="14" t="str">
        <f t="shared" si="32"/>
        <v>000</v>
      </c>
      <c r="H255" s="9" t="str">
        <f>IF(OR(G255=G254,BITWISE_XOR(G254,G255)=VALUE("111")),"",LEFT(G255,2))</f>
        <v/>
      </c>
      <c r="I255" s="9" t="str">
        <f>IF(OR(G255=G254,BITWISE_XOR(G254,G255)=VALUE("111")),"",RIGHT(G255,1))</f>
        <v/>
      </c>
      <c r="J255" s="9" t="b">
        <f>BITWISE_XOR(BIN2DEC(G254),7)=BIN2DEC(G255)</f>
        <v>0</v>
      </c>
      <c r="K255" s="9">
        <f t="shared" si="33"/>
        <v>0</v>
      </c>
      <c r="L255" s="9" t="str">
        <f t="shared" si="34"/>
        <v/>
      </c>
      <c r="M255" s="15" t="str">
        <f t="shared" si="35"/>
        <v/>
      </c>
      <c r="N255" t="str">
        <f t="shared" si="31"/>
        <v/>
      </c>
    </row>
    <row r="256" spans="4:14" x14ac:dyDescent="0.25">
      <c r="D256">
        <v>0</v>
      </c>
      <c r="E256" t="str">
        <f t="shared" si="36"/>
        <v>000</v>
      </c>
      <c r="G256" s="14" t="str">
        <f t="shared" si="32"/>
        <v>000</v>
      </c>
      <c r="H256" s="9" t="str">
        <f>IF(OR(G256=G255,BITWISE_XOR(G255,G256)=VALUE("111")),"",LEFT(G256,2))</f>
        <v/>
      </c>
      <c r="I256" s="9" t="str">
        <f>IF(OR(G256=G255,BITWISE_XOR(G255,G256)=VALUE("111")),"",RIGHT(G256,1))</f>
        <v/>
      </c>
      <c r="J256" s="9" t="b">
        <f>BITWISE_XOR(BIN2DEC(G255),7)=BIN2DEC(G256)</f>
        <v>0</v>
      </c>
      <c r="K256" s="9">
        <f t="shared" si="33"/>
        <v>0</v>
      </c>
      <c r="L256" s="9" t="str">
        <f t="shared" si="34"/>
        <v/>
      </c>
      <c r="M256" s="15" t="str">
        <f t="shared" si="35"/>
        <v/>
      </c>
      <c r="N256" t="str">
        <f t="shared" si="31"/>
        <v/>
      </c>
    </row>
    <row r="257" spans="4:14" x14ac:dyDescent="0.25">
      <c r="D257">
        <v>0</v>
      </c>
      <c r="E257" t="str">
        <f t="shared" si="36"/>
        <v>000</v>
      </c>
      <c r="G257" s="14" t="str">
        <f t="shared" si="32"/>
        <v>000</v>
      </c>
      <c r="H257" s="9" t="str">
        <f>IF(OR(G257=G256,BITWISE_XOR(G256,G257)=VALUE("111")),"",LEFT(G257,2))</f>
        <v/>
      </c>
      <c r="I257" s="9" t="str">
        <f>IF(OR(G257=G256,BITWISE_XOR(G256,G257)=VALUE("111")),"",RIGHT(G257,1))</f>
        <v/>
      </c>
      <c r="J257" s="9" t="b">
        <f>BITWISE_XOR(BIN2DEC(G256),7)=BIN2DEC(G257)</f>
        <v>0</v>
      </c>
      <c r="K257" s="9">
        <f t="shared" si="33"/>
        <v>0</v>
      </c>
      <c r="L257" s="9" t="str">
        <f t="shared" si="34"/>
        <v/>
      </c>
      <c r="M257" s="15" t="str">
        <f t="shared" si="35"/>
        <v/>
      </c>
      <c r="N257" t="str">
        <f t="shared" si="31"/>
        <v/>
      </c>
    </row>
    <row r="258" spans="4:14" x14ac:dyDescent="0.25">
      <c r="D258">
        <v>0</v>
      </c>
      <c r="E258" t="str">
        <f t="shared" si="36"/>
        <v>000</v>
      </c>
      <c r="G258" s="14" t="str">
        <f t="shared" si="32"/>
        <v>000</v>
      </c>
      <c r="H258" s="9" t="str">
        <f>IF(OR(G258=G257,BITWISE_XOR(G257,G258)=VALUE("111")),"",LEFT(G258,2))</f>
        <v/>
      </c>
      <c r="I258" s="9" t="str">
        <f>IF(OR(G258=G257,BITWISE_XOR(G257,G258)=VALUE("111")),"",RIGHT(G258,1))</f>
        <v/>
      </c>
      <c r="J258" s="9" t="b">
        <f>BITWISE_XOR(BIN2DEC(G257),7)=BIN2DEC(G258)</f>
        <v>0</v>
      </c>
      <c r="K258" s="9">
        <f t="shared" si="33"/>
        <v>0</v>
      </c>
      <c r="L258" s="9" t="str">
        <f t="shared" si="34"/>
        <v/>
      </c>
      <c r="M258" s="15" t="str">
        <f t="shared" si="35"/>
        <v/>
      </c>
      <c r="N258" t="str">
        <f t="shared" si="31"/>
        <v/>
      </c>
    </row>
    <row r="259" spans="4:14" x14ac:dyDescent="0.25">
      <c r="D259">
        <v>6</v>
      </c>
      <c r="E259" t="str">
        <f t="shared" si="36"/>
        <v>110</v>
      </c>
      <c r="G259" s="14" t="str">
        <f t="shared" si="32"/>
        <v>110</v>
      </c>
      <c r="H259" s="9" t="str">
        <f>IF(OR(G259=G258,BITWISE_XOR(G258,G259)=VALUE("111")),"",LEFT(G259,2))</f>
        <v>11</v>
      </c>
      <c r="I259" s="9" t="str">
        <f>IF(OR(G259=G258,BITWISE_XOR(G258,G259)=VALUE("111")),"",RIGHT(G259,1))</f>
        <v>0</v>
      </c>
      <c r="J259" s="9" t="b">
        <f>BITWISE_XOR(BIN2DEC(G258),7)=BIN2DEC(G259)</f>
        <v>0</v>
      </c>
      <c r="K259" s="9">
        <f t="shared" si="33"/>
        <v>1</v>
      </c>
      <c r="L259" s="9" t="str">
        <f t="shared" si="34"/>
        <v>11</v>
      </c>
      <c r="M259" s="15" t="str">
        <f t="shared" si="35"/>
        <v/>
      </c>
      <c r="N259" t="str">
        <f t="shared" si="31"/>
        <v/>
      </c>
    </row>
    <row r="260" spans="4:14" x14ac:dyDescent="0.25">
      <c r="D260">
        <v>6</v>
      </c>
      <c r="E260" t="str">
        <f t="shared" si="36"/>
        <v>110</v>
      </c>
      <c r="G260" s="14" t="str">
        <f t="shared" si="32"/>
        <v>110</v>
      </c>
      <c r="H260" s="9" t="str">
        <f>IF(OR(G260=G259,BITWISE_XOR(G259,G260)=VALUE("111")),"",LEFT(G260,2))</f>
        <v/>
      </c>
      <c r="I260" s="9" t="str">
        <f>IF(OR(G260=G259,BITWISE_XOR(G259,G260)=VALUE("111")),"",RIGHT(G260,1))</f>
        <v/>
      </c>
      <c r="J260" s="9" t="b">
        <f>BITWISE_XOR(BIN2DEC(G259),7)=BIN2DEC(G260)</f>
        <v>0</v>
      </c>
      <c r="K260" s="9">
        <f t="shared" si="33"/>
        <v>1</v>
      </c>
      <c r="L260" s="9" t="str">
        <f t="shared" si="34"/>
        <v>11</v>
      </c>
      <c r="M260" s="15" t="str">
        <f t="shared" si="35"/>
        <v/>
      </c>
      <c r="N260" t="str">
        <f t="shared" si="31"/>
        <v/>
      </c>
    </row>
    <row r="261" spans="4:14" x14ac:dyDescent="0.25">
      <c r="D261">
        <v>6</v>
      </c>
      <c r="E261" t="str">
        <f t="shared" si="36"/>
        <v>110</v>
      </c>
      <c r="G261" s="14" t="str">
        <f t="shared" si="32"/>
        <v>110</v>
      </c>
      <c r="H261" s="9" t="str">
        <f>IF(OR(G261=G260,BITWISE_XOR(G260,G261)=VALUE("111")),"",LEFT(G261,2))</f>
        <v/>
      </c>
      <c r="I261" s="9" t="str">
        <f>IF(OR(G261=G260,BITWISE_XOR(G260,G261)=VALUE("111")),"",RIGHT(G261,1))</f>
        <v/>
      </c>
      <c r="J261" s="9" t="b">
        <f>BITWISE_XOR(BIN2DEC(G260),7)=BIN2DEC(G261)</f>
        <v>0</v>
      </c>
      <c r="K261" s="9">
        <f t="shared" si="33"/>
        <v>1</v>
      </c>
      <c r="L261" s="9" t="str">
        <f t="shared" si="34"/>
        <v>11</v>
      </c>
      <c r="M261" s="15" t="str">
        <f t="shared" si="35"/>
        <v/>
      </c>
      <c r="N261" t="str">
        <f t="shared" si="31"/>
        <v/>
      </c>
    </row>
    <row r="262" spans="4:14" x14ac:dyDescent="0.25">
      <c r="D262">
        <v>6</v>
      </c>
      <c r="E262" t="str">
        <f t="shared" si="36"/>
        <v>110</v>
      </c>
      <c r="G262" s="14" t="str">
        <f t="shared" si="32"/>
        <v>110</v>
      </c>
      <c r="H262" s="9" t="str">
        <f>IF(OR(G262=G261,BITWISE_XOR(G261,G262)=VALUE("111")),"",LEFT(G262,2))</f>
        <v/>
      </c>
      <c r="I262" s="9" t="str">
        <f>IF(OR(G262=G261,BITWISE_XOR(G261,G262)=VALUE("111")),"",RIGHT(G262,1))</f>
        <v/>
      </c>
      <c r="J262" s="9" t="b">
        <f>BITWISE_XOR(BIN2DEC(G261),7)=BIN2DEC(G262)</f>
        <v>0</v>
      </c>
      <c r="K262" s="9">
        <f t="shared" si="33"/>
        <v>1</v>
      </c>
      <c r="L262" s="9" t="str">
        <f t="shared" si="34"/>
        <v>11</v>
      </c>
      <c r="M262" s="15" t="str">
        <f t="shared" si="35"/>
        <v/>
      </c>
      <c r="N262" t="str">
        <f t="shared" si="31"/>
        <v/>
      </c>
    </row>
    <row r="263" spans="4:14" x14ac:dyDescent="0.25">
      <c r="D263">
        <v>6</v>
      </c>
      <c r="E263" t="str">
        <f t="shared" si="36"/>
        <v>110</v>
      </c>
      <c r="G263" s="14" t="str">
        <f t="shared" si="32"/>
        <v>110</v>
      </c>
      <c r="H263" s="9" t="str">
        <f>IF(OR(G263=G262,BITWISE_XOR(G262,G263)=VALUE("111")),"",LEFT(G263,2))</f>
        <v/>
      </c>
      <c r="I263" s="9" t="str">
        <f>IF(OR(G263=G262,BITWISE_XOR(G262,G263)=VALUE("111")),"",RIGHT(G263,1))</f>
        <v/>
      </c>
      <c r="J263" s="9" t="b">
        <f>BITWISE_XOR(BIN2DEC(G262),7)=BIN2DEC(G263)</f>
        <v>0</v>
      </c>
      <c r="K263" s="9">
        <f t="shared" si="33"/>
        <v>1</v>
      </c>
      <c r="L263" s="9" t="str">
        <f t="shared" si="34"/>
        <v>11</v>
      </c>
      <c r="M263" s="15" t="str">
        <f t="shared" si="35"/>
        <v/>
      </c>
      <c r="N263" t="str">
        <f t="shared" si="31"/>
        <v/>
      </c>
    </row>
    <row r="264" spans="4:14" x14ac:dyDescent="0.25">
      <c r="D264">
        <v>6</v>
      </c>
      <c r="E264" t="str">
        <f t="shared" si="36"/>
        <v>110</v>
      </c>
      <c r="G264" s="14" t="str">
        <f t="shared" si="32"/>
        <v>110</v>
      </c>
      <c r="H264" s="9" t="str">
        <f>IF(OR(G264=G263,BITWISE_XOR(G263,G264)=VALUE("111")),"",LEFT(G264,2))</f>
        <v/>
      </c>
      <c r="I264" s="9" t="str">
        <f>IF(OR(G264=G263,BITWISE_XOR(G263,G264)=VALUE("111")),"",RIGHT(G264,1))</f>
        <v/>
      </c>
      <c r="J264" s="9" t="b">
        <f>BITWISE_XOR(BIN2DEC(G263),7)=BIN2DEC(G264)</f>
        <v>0</v>
      </c>
      <c r="K264" s="9">
        <f t="shared" si="33"/>
        <v>1</v>
      </c>
      <c r="L264" s="9" t="str">
        <f t="shared" si="34"/>
        <v>11</v>
      </c>
      <c r="M264" s="15" t="str">
        <f t="shared" si="35"/>
        <v/>
      </c>
      <c r="N264" t="str">
        <f t="shared" si="31"/>
        <v/>
      </c>
    </row>
    <row r="265" spans="4:14" x14ac:dyDescent="0.25">
      <c r="D265">
        <v>6</v>
      </c>
      <c r="E265" t="str">
        <f t="shared" si="36"/>
        <v>110</v>
      </c>
      <c r="G265" s="14" t="str">
        <f t="shared" si="32"/>
        <v>110</v>
      </c>
      <c r="H265" s="9" t="str">
        <f>IF(OR(G265=G264,BITWISE_XOR(G264,G265)=VALUE("111")),"",LEFT(G265,2))</f>
        <v/>
      </c>
      <c r="I265" s="9" t="str">
        <f>IF(OR(G265=G264,BITWISE_XOR(G264,G265)=VALUE("111")),"",RIGHT(G265,1))</f>
        <v/>
      </c>
      <c r="J265" s="9" t="b">
        <f>BITWISE_XOR(BIN2DEC(G264),7)=BIN2DEC(G265)</f>
        <v>0</v>
      </c>
      <c r="K265" s="9">
        <f t="shared" si="33"/>
        <v>1</v>
      </c>
      <c r="L265" s="9" t="str">
        <f t="shared" si="34"/>
        <v>11</v>
      </c>
      <c r="M265" s="15" t="str">
        <f t="shared" si="35"/>
        <v/>
      </c>
      <c r="N265" t="str">
        <f t="shared" si="31"/>
        <v/>
      </c>
    </row>
    <row r="266" spans="4:14" x14ac:dyDescent="0.25">
      <c r="D266">
        <v>2</v>
      </c>
      <c r="E266" t="str">
        <f t="shared" si="36"/>
        <v>010</v>
      </c>
      <c r="G266" s="14" t="str">
        <f t="shared" si="32"/>
        <v>010</v>
      </c>
      <c r="H266" s="9" t="str">
        <f>IF(OR(G266=G265,BITWISE_XOR(G265,G266)=VALUE("111")),"",LEFT(G266,2))</f>
        <v>01</v>
      </c>
      <c r="I266" s="9" t="str">
        <f>IF(OR(G266=G265,BITWISE_XOR(G265,G266)=VALUE("111")),"",RIGHT(G266,1))</f>
        <v>0</v>
      </c>
      <c r="J266" s="9" t="b">
        <f>BITWISE_XOR(BIN2DEC(G265),7)=BIN2DEC(G266)</f>
        <v>0</v>
      </c>
      <c r="K266" s="9">
        <f t="shared" si="33"/>
        <v>2</v>
      </c>
      <c r="L266" s="9" t="str">
        <f t="shared" si="34"/>
        <v>0111</v>
      </c>
      <c r="M266" s="15" t="str">
        <f t="shared" si="35"/>
        <v/>
      </c>
      <c r="N266" t="str">
        <f t="shared" si="31"/>
        <v/>
      </c>
    </row>
    <row r="267" spans="4:14" x14ac:dyDescent="0.25">
      <c r="D267">
        <v>2</v>
      </c>
      <c r="E267" t="str">
        <f t="shared" si="36"/>
        <v>010</v>
      </c>
      <c r="G267" s="14" t="str">
        <f t="shared" si="32"/>
        <v>010</v>
      </c>
      <c r="H267" s="9" t="str">
        <f>IF(OR(G267=G266,BITWISE_XOR(G266,G267)=VALUE("111")),"",LEFT(G267,2))</f>
        <v/>
      </c>
      <c r="I267" s="9" t="str">
        <f>IF(OR(G267=G266,BITWISE_XOR(G266,G267)=VALUE("111")),"",RIGHT(G267,1))</f>
        <v/>
      </c>
      <c r="J267" s="9" t="b">
        <f>BITWISE_XOR(BIN2DEC(G266),7)=BIN2DEC(G267)</f>
        <v>0</v>
      </c>
      <c r="K267" s="9">
        <f t="shared" si="33"/>
        <v>2</v>
      </c>
      <c r="L267" s="9" t="str">
        <f t="shared" si="34"/>
        <v>0111</v>
      </c>
      <c r="M267" s="15" t="str">
        <f t="shared" si="35"/>
        <v/>
      </c>
      <c r="N267" t="str">
        <f t="shared" si="31"/>
        <v/>
      </c>
    </row>
    <row r="268" spans="4:14" x14ac:dyDescent="0.25">
      <c r="D268">
        <v>2</v>
      </c>
      <c r="E268" t="str">
        <f t="shared" si="36"/>
        <v>010</v>
      </c>
      <c r="G268" s="14" t="str">
        <f t="shared" si="32"/>
        <v>010</v>
      </c>
      <c r="H268" s="9" t="str">
        <f>IF(OR(G268=G267,BITWISE_XOR(G267,G268)=VALUE("111")),"",LEFT(G268,2))</f>
        <v/>
      </c>
      <c r="I268" s="9" t="str">
        <f>IF(OR(G268=G267,BITWISE_XOR(G267,G268)=VALUE("111")),"",RIGHT(G268,1))</f>
        <v/>
      </c>
      <c r="J268" s="9" t="b">
        <f>BITWISE_XOR(BIN2DEC(G267),7)=BIN2DEC(G268)</f>
        <v>0</v>
      </c>
      <c r="K268" s="9">
        <f t="shared" si="33"/>
        <v>2</v>
      </c>
      <c r="L268" s="9" t="str">
        <f t="shared" si="34"/>
        <v>0111</v>
      </c>
      <c r="M268" s="15" t="str">
        <f t="shared" si="35"/>
        <v/>
      </c>
      <c r="N268" t="str">
        <f t="shared" si="31"/>
        <v/>
      </c>
    </row>
    <row r="269" spans="4:14" x14ac:dyDescent="0.25">
      <c r="D269">
        <v>2</v>
      </c>
      <c r="E269" t="str">
        <f t="shared" si="36"/>
        <v>010</v>
      </c>
      <c r="G269" s="14" t="str">
        <f t="shared" si="32"/>
        <v>010</v>
      </c>
      <c r="H269" s="9" t="str">
        <f>IF(OR(G269=G268,BITWISE_XOR(G268,G269)=VALUE("111")),"",LEFT(G269,2))</f>
        <v/>
      </c>
      <c r="I269" s="9" t="str">
        <f>IF(OR(G269=G268,BITWISE_XOR(G268,G269)=VALUE("111")),"",RIGHT(G269,1))</f>
        <v/>
      </c>
      <c r="J269" s="9" t="b">
        <f>BITWISE_XOR(BIN2DEC(G268),7)=BIN2DEC(G269)</f>
        <v>0</v>
      </c>
      <c r="K269" s="9">
        <f t="shared" si="33"/>
        <v>2</v>
      </c>
      <c r="L269" s="9" t="str">
        <f t="shared" si="34"/>
        <v>0111</v>
      </c>
      <c r="M269" s="15" t="str">
        <f t="shared" si="35"/>
        <v/>
      </c>
      <c r="N269" t="str">
        <f t="shared" si="31"/>
        <v/>
      </c>
    </row>
    <row r="270" spans="4:14" x14ac:dyDescent="0.25">
      <c r="D270">
        <v>2</v>
      </c>
      <c r="E270" t="str">
        <f t="shared" si="36"/>
        <v>010</v>
      </c>
      <c r="G270" s="14" t="str">
        <f t="shared" si="32"/>
        <v>010</v>
      </c>
      <c r="H270" s="9" t="str">
        <f>IF(OR(G270=G269,BITWISE_XOR(G269,G270)=VALUE("111")),"",LEFT(G270,2))</f>
        <v/>
      </c>
      <c r="I270" s="9" t="str">
        <f>IF(OR(G270=G269,BITWISE_XOR(G269,G270)=VALUE("111")),"",RIGHT(G270,1))</f>
        <v/>
      </c>
      <c r="J270" s="9" t="b">
        <f>BITWISE_XOR(BIN2DEC(G269),7)=BIN2DEC(G270)</f>
        <v>0</v>
      </c>
      <c r="K270" s="9">
        <f t="shared" si="33"/>
        <v>2</v>
      </c>
      <c r="L270" s="9" t="str">
        <f t="shared" si="34"/>
        <v>0111</v>
      </c>
      <c r="M270" s="15" t="str">
        <f t="shared" si="35"/>
        <v/>
      </c>
      <c r="N270" t="str">
        <f t="shared" si="31"/>
        <v/>
      </c>
    </row>
    <row r="271" spans="4:14" x14ac:dyDescent="0.25">
      <c r="D271">
        <v>2</v>
      </c>
      <c r="E271" t="str">
        <f t="shared" si="36"/>
        <v>010</v>
      </c>
      <c r="G271" s="14" t="str">
        <f t="shared" si="32"/>
        <v>010</v>
      </c>
      <c r="H271" s="9" t="str">
        <f>IF(OR(G271=G270,BITWISE_XOR(G270,G271)=VALUE("111")),"",LEFT(G271,2))</f>
        <v/>
      </c>
      <c r="I271" s="9" t="str">
        <f>IF(OR(G271=G270,BITWISE_XOR(G270,G271)=VALUE("111")),"",RIGHT(G271,1))</f>
        <v/>
      </c>
      <c r="J271" s="9" t="b">
        <f>BITWISE_XOR(BIN2DEC(G270),7)=BIN2DEC(G271)</f>
        <v>0</v>
      </c>
      <c r="K271" s="9">
        <f t="shared" si="33"/>
        <v>2</v>
      </c>
      <c r="L271" s="9" t="str">
        <f t="shared" si="34"/>
        <v>0111</v>
      </c>
      <c r="M271" s="15" t="str">
        <f t="shared" si="35"/>
        <v/>
      </c>
      <c r="N271" t="str">
        <f t="shared" si="31"/>
        <v/>
      </c>
    </row>
    <row r="272" spans="4:14" x14ac:dyDescent="0.25">
      <c r="D272">
        <v>2</v>
      </c>
      <c r="E272" t="str">
        <f t="shared" si="36"/>
        <v>010</v>
      </c>
      <c r="G272" s="14" t="str">
        <f t="shared" si="32"/>
        <v>010</v>
      </c>
      <c r="H272" s="9" t="str">
        <f>IF(OR(G272=G271,BITWISE_XOR(G271,G272)=VALUE("111")),"",LEFT(G272,2))</f>
        <v/>
      </c>
      <c r="I272" s="9" t="str">
        <f>IF(OR(G272=G271,BITWISE_XOR(G271,G272)=VALUE("111")),"",RIGHT(G272,1))</f>
        <v/>
      </c>
      <c r="J272" s="9" t="b">
        <f>BITWISE_XOR(BIN2DEC(G271),7)=BIN2DEC(G272)</f>
        <v>0</v>
      </c>
      <c r="K272" s="9">
        <f t="shared" si="33"/>
        <v>2</v>
      </c>
      <c r="L272" s="9" t="str">
        <f t="shared" si="34"/>
        <v>0111</v>
      </c>
      <c r="M272" s="15" t="str">
        <f t="shared" si="35"/>
        <v/>
      </c>
      <c r="N272" t="str">
        <f t="shared" si="31"/>
        <v/>
      </c>
    </row>
    <row r="273" spans="4:14" x14ac:dyDescent="0.25">
      <c r="D273">
        <v>3</v>
      </c>
      <c r="E273" t="str">
        <f t="shared" si="36"/>
        <v>011</v>
      </c>
      <c r="G273" s="14" t="str">
        <f t="shared" si="32"/>
        <v>011</v>
      </c>
      <c r="H273" s="9" t="str">
        <f>IF(OR(G273=G272,BITWISE_XOR(G272,G273)=VALUE("111")),"",LEFT(G273,2))</f>
        <v>01</v>
      </c>
      <c r="I273" s="9" t="str">
        <f>IF(OR(G273=G272,BITWISE_XOR(G272,G273)=VALUE("111")),"",RIGHT(G273,1))</f>
        <v>1</v>
      </c>
      <c r="J273" s="9" t="b">
        <f>BITWISE_XOR(BIN2DEC(G272),7)=BIN2DEC(G273)</f>
        <v>0</v>
      </c>
      <c r="K273" s="9">
        <f t="shared" si="33"/>
        <v>3</v>
      </c>
      <c r="L273" s="9" t="str">
        <f t="shared" si="34"/>
        <v>010111</v>
      </c>
      <c r="M273" s="15" t="str">
        <f t="shared" si="35"/>
        <v/>
      </c>
      <c r="N273" t="str">
        <f t="shared" si="31"/>
        <v/>
      </c>
    </row>
    <row r="274" spans="4:14" x14ac:dyDescent="0.25">
      <c r="D274">
        <v>3</v>
      </c>
      <c r="E274" t="str">
        <f t="shared" si="36"/>
        <v>011</v>
      </c>
      <c r="G274" s="14" t="str">
        <f t="shared" si="32"/>
        <v>011</v>
      </c>
      <c r="H274" s="9" t="str">
        <f>IF(OR(G274=G273,BITWISE_XOR(G273,G274)=VALUE("111")),"",LEFT(G274,2))</f>
        <v/>
      </c>
      <c r="I274" s="9" t="str">
        <f>IF(OR(G274=G273,BITWISE_XOR(G273,G274)=VALUE("111")),"",RIGHT(G274,1))</f>
        <v/>
      </c>
      <c r="J274" s="9" t="b">
        <f>BITWISE_XOR(BIN2DEC(G273),7)=BIN2DEC(G274)</f>
        <v>0</v>
      </c>
      <c r="K274" s="9">
        <f t="shared" si="33"/>
        <v>3</v>
      </c>
      <c r="L274" s="9" t="str">
        <f t="shared" si="34"/>
        <v>010111</v>
      </c>
      <c r="M274" s="15" t="str">
        <f t="shared" si="35"/>
        <v/>
      </c>
      <c r="N274" t="str">
        <f t="shared" si="31"/>
        <v/>
      </c>
    </row>
    <row r="275" spans="4:14" x14ac:dyDescent="0.25">
      <c r="D275">
        <v>3</v>
      </c>
      <c r="E275" t="str">
        <f t="shared" si="36"/>
        <v>011</v>
      </c>
      <c r="G275" s="14" t="str">
        <f t="shared" si="32"/>
        <v>011</v>
      </c>
      <c r="H275" s="9" t="str">
        <f>IF(OR(G275=G274,BITWISE_XOR(G274,G275)=VALUE("111")),"",LEFT(G275,2))</f>
        <v/>
      </c>
      <c r="I275" s="9" t="str">
        <f>IF(OR(G275=G274,BITWISE_XOR(G274,G275)=VALUE("111")),"",RIGHT(G275,1))</f>
        <v/>
      </c>
      <c r="J275" s="9" t="b">
        <f>BITWISE_XOR(BIN2DEC(G274),7)=BIN2DEC(G275)</f>
        <v>0</v>
      </c>
      <c r="K275" s="9">
        <f t="shared" si="33"/>
        <v>3</v>
      </c>
      <c r="L275" s="9" t="str">
        <f t="shared" si="34"/>
        <v>010111</v>
      </c>
      <c r="M275" s="15" t="str">
        <f t="shared" si="35"/>
        <v/>
      </c>
      <c r="N275" t="str">
        <f t="shared" si="31"/>
        <v/>
      </c>
    </row>
    <row r="276" spans="4:14" x14ac:dyDescent="0.25">
      <c r="D276">
        <v>3</v>
      </c>
      <c r="E276" t="str">
        <f t="shared" si="36"/>
        <v>011</v>
      </c>
      <c r="G276" s="14" t="str">
        <f t="shared" si="32"/>
        <v>011</v>
      </c>
      <c r="H276" s="9" t="str">
        <f>IF(OR(G276=G275,BITWISE_XOR(G275,G276)=VALUE("111")),"",LEFT(G276,2))</f>
        <v/>
      </c>
      <c r="I276" s="9" t="str">
        <f>IF(OR(G276=G275,BITWISE_XOR(G275,G276)=VALUE("111")),"",RIGHT(G276,1))</f>
        <v/>
      </c>
      <c r="J276" s="9" t="b">
        <f>BITWISE_XOR(BIN2DEC(G275),7)=BIN2DEC(G276)</f>
        <v>0</v>
      </c>
      <c r="K276" s="9">
        <f t="shared" si="33"/>
        <v>3</v>
      </c>
      <c r="L276" s="9" t="str">
        <f t="shared" si="34"/>
        <v>010111</v>
      </c>
      <c r="M276" s="15" t="str">
        <f t="shared" si="35"/>
        <v/>
      </c>
      <c r="N276" t="str">
        <f t="shared" si="31"/>
        <v/>
      </c>
    </row>
    <row r="277" spans="4:14" x14ac:dyDescent="0.25">
      <c r="D277">
        <v>3</v>
      </c>
      <c r="E277" t="str">
        <f t="shared" si="36"/>
        <v>011</v>
      </c>
      <c r="G277" s="14" t="str">
        <f t="shared" si="32"/>
        <v>011</v>
      </c>
      <c r="H277" s="9" t="str">
        <f>IF(OR(G277=G276,BITWISE_XOR(G276,G277)=VALUE("111")),"",LEFT(G277,2))</f>
        <v/>
      </c>
      <c r="I277" s="9" t="str">
        <f>IF(OR(G277=G276,BITWISE_XOR(G276,G277)=VALUE("111")),"",RIGHT(G277,1))</f>
        <v/>
      </c>
      <c r="J277" s="9" t="b">
        <f>BITWISE_XOR(BIN2DEC(G276),7)=BIN2DEC(G277)</f>
        <v>0</v>
      </c>
      <c r="K277" s="9">
        <f t="shared" si="33"/>
        <v>3</v>
      </c>
      <c r="L277" s="9" t="str">
        <f t="shared" si="34"/>
        <v>010111</v>
      </c>
      <c r="M277" s="15" t="str">
        <f t="shared" si="35"/>
        <v/>
      </c>
      <c r="N277" t="str">
        <f t="shared" si="31"/>
        <v/>
      </c>
    </row>
    <row r="278" spans="4:14" x14ac:dyDescent="0.25">
      <c r="D278">
        <v>3</v>
      </c>
      <c r="E278" t="str">
        <f t="shared" si="36"/>
        <v>011</v>
      </c>
      <c r="G278" s="14" t="str">
        <f t="shared" si="32"/>
        <v>011</v>
      </c>
      <c r="H278" s="9" t="str">
        <f>IF(OR(G278=G277,BITWISE_XOR(G277,G278)=VALUE("111")),"",LEFT(G278,2))</f>
        <v/>
      </c>
      <c r="I278" s="9" t="str">
        <f>IF(OR(G278=G277,BITWISE_XOR(G277,G278)=VALUE("111")),"",RIGHT(G278,1))</f>
        <v/>
      </c>
      <c r="J278" s="9" t="b">
        <f>BITWISE_XOR(BIN2DEC(G277),7)=BIN2DEC(G278)</f>
        <v>0</v>
      </c>
      <c r="K278" s="9">
        <f t="shared" si="33"/>
        <v>3</v>
      </c>
      <c r="L278" s="9" t="str">
        <f t="shared" si="34"/>
        <v>010111</v>
      </c>
      <c r="M278" s="15" t="str">
        <f t="shared" si="35"/>
        <v/>
      </c>
      <c r="N278" t="str">
        <f t="shared" si="31"/>
        <v/>
      </c>
    </row>
    <row r="279" spans="4:14" x14ac:dyDescent="0.25">
      <c r="D279">
        <v>3</v>
      </c>
      <c r="E279" t="str">
        <f t="shared" si="36"/>
        <v>011</v>
      </c>
      <c r="G279" s="14" t="str">
        <f t="shared" si="32"/>
        <v>011</v>
      </c>
      <c r="H279" s="9" t="str">
        <f>IF(OR(G279=G278,BITWISE_XOR(G278,G279)=VALUE("111")),"",LEFT(G279,2))</f>
        <v/>
      </c>
      <c r="I279" s="9" t="str">
        <f>IF(OR(G279=G278,BITWISE_XOR(G278,G279)=VALUE("111")),"",RIGHT(G279,1))</f>
        <v/>
      </c>
      <c r="J279" s="9" t="b">
        <f>BITWISE_XOR(BIN2DEC(G278),7)=BIN2DEC(G279)</f>
        <v>0</v>
      </c>
      <c r="K279" s="9">
        <f t="shared" si="33"/>
        <v>3</v>
      </c>
      <c r="L279" s="9" t="str">
        <f t="shared" si="34"/>
        <v>010111</v>
      </c>
      <c r="M279" s="15" t="str">
        <f t="shared" si="35"/>
        <v/>
      </c>
      <c r="N279" t="str">
        <f t="shared" si="31"/>
        <v/>
      </c>
    </row>
    <row r="280" spans="4:14" x14ac:dyDescent="0.25">
      <c r="D280">
        <v>2</v>
      </c>
      <c r="E280" t="str">
        <f t="shared" si="36"/>
        <v>010</v>
      </c>
      <c r="G280" s="14" t="str">
        <f t="shared" si="32"/>
        <v>010</v>
      </c>
      <c r="H280" s="9" t="str">
        <f>IF(OR(G280=G279,BITWISE_XOR(G279,G280)=VALUE("111")),"",LEFT(G280,2))</f>
        <v>01</v>
      </c>
      <c r="I280" s="9" t="str">
        <f>IF(OR(G280=G279,BITWISE_XOR(G279,G280)=VALUE("111")),"",RIGHT(G280,1))</f>
        <v>0</v>
      </c>
      <c r="J280" s="9" t="b">
        <f>BITWISE_XOR(BIN2DEC(G279),7)=BIN2DEC(G280)</f>
        <v>0</v>
      </c>
      <c r="K280" s="9">
        <f t="shared" si="33"/>
        <v>0</v>
      </c>
      <c r="L280" s="9" t="str">
        <f t="shared" si="34"/>
        <v>01010111</v>
      </c>
      <c r="M280" s="15">
        <f t="shared" si="35"/>
        <v>87</v>
      </c>
      <c r="N280" t="str">
        <f t="shared" si="31"/>
        <v>W</v>
      </c>
    </row>
    <row r="281" spans="4:14" x14ac:dyDescent="0.25">
      <c r="D281">
        <v>2</v>
      </c>
      <c r="E281" t="str">
        <f t="shared" si="36"/>
        <v>010</v>
      </c>
      <c r="G281" s="14" t="str">
        <f t="shared" si="32"/>
        <v>010</v>
      </c>
      <c r="H281" s="9" t="str">
        <f>IF(OR(G281=G280,BITWISE_XOR(G280,G281)=VALUE("111")),"",LEFT(G281,2))</f>
        <v/>
      </c>
      <c r="I281" s="9" t="str">
        <f>IF(OR(G281=G280,BITWISE_XOR(G280,G281)=VALUE("111")),"",RIGHT(G281,1))</f>
        <v/>
      </c>
      <c r="J281" s="9" t="b">
        <f>BITWISE_XOR(BIN2DEC(G280),7)=BIN2DEC(G281)</f>
        <v>0</v>
      </c>
      <c r="K281" s="9">
        <f t="shared" si="33"/>
        <v>0</v>
      </c>
      <c r="L281" s="9" t="str">
        <f t="shared" si="34"/>
        <v/>
      </c>
      <c r="M281" s="15" t="str">
        <f t="shared" si="35"/>
        <v/>
      </c>
      <c r="N281" t="str">
        <f t="shared" si="31"/>
        <v/>
      </c>
    </row>
    <row r="282" spans="4:14" x14ac:dyDescent="0.25">
      <c r="D282">
        <v>2</v>
      </c>
      <c r="E282" t="str">
        <f t="shared" si="36"/>
        <v>010</v>
      </c>
      <c r="G282" s="14" t="str">
        <f t="shared" si="32"/>
        <v>010</v>
      </c>
      <c r="H282" s="9" t="str">
        <f>IF(OR(G282=G281,BITWISE_XOR(G281,G282)=VALUE("111")),"",LEFT(G282,2))</f>
        <v/>
      </c>
      <c r="I282" s="9" t="str">
        <f>IF(OR(G282=G281,BITWISE_XOR(G281,G282)=VALUE("111")),"",RIGHT(G282,1))</f>
        <v/>
      </c>
      <c r="J282" s="9" t="b">
        <f>BITWISE_XOR(BIN2DEC(G281),7)=BIN2DEC(G282)</f>
        <v>0</v>
      </c>
      <c r="K282" s="9">
        <f t="shared" si="33"/>
        <v>0</v>
      </c>
      <c r="L282" s="9" t="str">
        <f t="shared" si="34"/>
        <v/>
      </c>
      <c r="M282" s="15" t="str">
        <f t="shared" si="35"/>
        <v/>
      </c>
      <c r="N282" t="str">
        <f t="shared" si="31"/>
        <v/>
      </c>
    </row>
    <row r="283" spans="4:14" x14ac:dyDescent="0.25">
      <c r="D283">
        <v>2</v>
      </c>
      <c r="E283" t="str">
        <f t="shared" si="36"/>
        <v>010</v>
      </c>
      <c r="G283" s="14" t="str">
        <f t="shared" si="32"/>
        <v>010</v>
      </c>
      <c r="H283" s="9" t="str">
        <f>IF(OR(G283=G282,BITWISE_XOR(G282,G283)=VALUE("111")),"",LEFT(G283,2))</f>
        <v/>
      </c>
      <c r="I283" s="9" t="str">
        <f>IF(OR(G283=G282,BITWISE_XOR(G282,G283)=VALUE("111")),"",RIGHT(G283,1))</f>
        <v/>
      </c>
      <c r="J283" s="9" t="b">
        <f>BITWISE_XOR(BIN2DEC(G282),7)=BIN2DEC(G283)</f>
        <v>0</v>
      </c>
      <c r="K283" s="9">
        <f t="shared" si="33"/>
        <v>0</v>
      </c>
      <c r="L283" s="9" t="str">
        <f t="shared" si="34"/>
        <v/>
      </c>
      <c r="M283" s="15" t="str">
        <f t="shared" si="35"/>
        <v/>
      </c>
      <c r="N283" t="str">
        <f t="shared" si="31"/>
        <v/>
      </c>
    </row>
    <row r="284" spans="4:14" x14ac:dyDescent="0.25">
      <c r="D284">
        <v>2</v>
      </c>
      <c r="E284" t="str">
        <f t="shared" si="36"/>
        <v>010</v>
      </c>
      <c r="G284" s="14" t="str">
        <f t="shared" si="32"/>
        <v>010</v>
      </c>
      <c r="H284" s="9" t="str">
        <f>IF(OR(G284=G283,BITWISE_XOR(G283,G284)=VALUE("111")),"",LEFT(G284,2))</f>
        <v/>
      </c>
      <c r="I284" s="9" t="str">
        <f>IF(OR(G284=G283,BITWISE_XOR(G283,G284)=VALUE("111")),"",RIGHT(G284,1))</f>
        <v/>
      </c>
      <c r="J284" s="9" t="b">
        <f>BITWISE_XOR(BIN2DEC(G283),7)=BIN2DEC(G284)</f>
        <v>0</v>
      </c>
      <c r="K284" s="9">
        <f t="shared" si="33"/>
        <v>0</v>
      </c>
      <c r="L284" s="9" t="str">
        <f t="shared" si="34"/>
        <v/>
      </c>
      <c r="M284" s="15" t="str">
        <f t="shared" si="35"/>
        <v/>
      </c>
      <c r="N284" t="str">
        <f t="shared" si="31"/>
        <v/>
      </c>
    </row>
    <row r="285" spans="4:14" x14ac:dyDescent="0.25">
      <c r="D285">
        <v>2</v>
      </c>
      <c r="E285" t="str">
        <f t="shared" si="36"/>
        <v>010</v>
      </c>
      <c r="G285" s="14" t="str">
        <f t="shared" si="32"/>
        <v>010</v>
      </c>
      <c r="H285" s="9" t="str">
        <f>IF(OR(G285=G284,BITWISE_XOR(G284,G285)=VALUE("111")),"",LEFT(G285,2))</f>
        <v/>
      </c>
      <c r="I285" s="9" t="str">
        <f>IF(OR(G285=G284,BITWISE_XOR(G284,G285)=VALUE("111")),"",RIGHT(G285,1))</f>
        <v/>
      </c>
      <c r="J285" s="9" t="b">
        <f>BITWISE_XOR(BIN2DEC(G284),7)=BIN2DEC(G285)</f>
        <v>0</v>
      </c>
      <c r="K285" s="9">
        <f t="shared" si="33"/>
        <v>0</v>
      </c>
      <c r="L285" s="9" t="str">
        <f t="shared" si="34"/>
        <v/>
      </c>
      <c r="M285" s="15" t="str">
        <f t="shared" si="35"/>
        <v/>
      </c>
      <c r="N285" t="str">
        <f t="shared" si="31"/>
        <v/>
      </c>
    </row>
    <row r="286" spans="4:14" x14ac:dyDescent="0.25">
      <c r="D286">
        <v>2</v>
      </c>
      <c r="E286" t="str">
        <f t="shared" si="36"/>
        <v>010</v>
      </c>
      <c r="G286" s="14" t="str">
        <f t="shared" si="32"/>
        <v>010</v>
      </c>
      <c r="H286" s="9" t="str">
        <f>IF(OR(G286=G285,BITWISE_XOR(G285,G286)=VALUE("111")),"",LEFT(G286,2))</f>
        <v/>
      </c>
      <c r="I286" s="9" t="str">
        <f>IF(OR(G286=G285,BITWISE_XOR(G285,G286)=VALUE("111")),"",RIGHT(G286,1))</f>
        <v/>
      </c>
      <c r="J286" s="9" t="b">
        <f>BITWISE_XOR(BIN2DEC(G285),7)=BIN2DEC(G286)</f>
        <v>0</v>
      </c>
      <c r="K286" s="9">
        <f t="shared" si="33"/>
        <v>0</v>
      </c>
      <c r="L286" s="9" t="str">
        <f t="shared" si="34"/>
        <v/>
      </c>
      <c r="M286" s="15" t="str">
        <f t="shared" si="35"/>
        <v/>
      </c>
      <c r="N286" t="str">
        <f t="shared" si="31"/>
        <v/>
      </c>
    </row>
    <row r="287" spans="4:14" x14ac:dyDescent="0.25">
      <c r="D287">
        <v>6</v>
      </c>
      <c r="E287" t="str">
        <f t="shared" si="36"/>
        <v>110</v>
      </c>
      <c r="G287" s="14" t="str">
        <f t="shared" si="32"/>
        <v>110</v>
      </c>
      <c r="H287" s="9" t="str">
        <f>IF(OR(G287=G286,BITWISE_XOR(G286,G287)=VALUE("111")),"",LEFT(G287,2))</f>
        <v>11</v>
      </c>
      <c r="I287" s="9" t="str">
        <f>IF(OR(G287=G286,BITWISE_XOR(G286,G287)=VALUE("111")),"",RIGHT(G287,1))</f>
        <v>0</v>
      </c>
      <c r="J287" s="9" t="b">
        <f>BITWISE_XOR(BIN2DEC(G286),7)=BIN2DEC(G287)</f>
        <v>0</v>
      </c>
      <c r="K287" s="9">
        <f t="shared" si="33"/>
        <v>1</v>
      </c>
      <c r="L287" s="9" t="str">
        <f t="shared" si="34"/>
        <v>11</v>
      </c>
      <c r="M287" s="15" t="str">
        <f t="shared" si="35"/>
        <v/>
      </c>
      <c r="N287" t="str">
        <f t="shared" si="31"/>
        <v/>
      </c>
    </row>
    <row r="288" spans="4:14" x14ac:dyDescent="0.25">
      <c r="D288">
        <v>6</v>
      </c>
      <c r="E288" t="str">
        <f t="shared" si="36"/>
        <v>110</v>
      </c>
      <c r="G288" s="14" t="str">
        <f t="shared" si="32"/>
        <v>110</v>
      </c>
      <c r="H288" s="9" t="str">
        <f>IF(OR(G288=G287,BITWISE_XOR(G287,G288)=VALUE("111")),"",LEFT(G288,2))</f>
        <v/>
      </c>
      <c r="I288" s="9" t="str">
        <f>IF(OR(G288=G287,BITWISE_XOR(G287,G288)=VALUE("111")),"",RIGHT(G288,1))</f>
        <v/>
      </c>
      <c r="J288" s="9" t="b">
        <f>BITWISE_XOR(BIN2DEC(G287),7)=BIN2DEC(G288)</f>
        <v>0</v>
      </c>
      <c r="K288" s="9">
        <f t="shared" si="33"/>
        <v>1</v>
      </c>
      <c r="L288" s="9" t="str">
        <f t="shared" si="34"/>
        <v>11</v>
      </c>
      <c r="M288" s="15" t="str">
        <f t="shared" si="35"/>
        <v/>
      </c>
      <c r="N288" t="str">
        <f t="shared" ref="N288:N351" si="37">IF(M288&lt;&gt;"",CHAR(M288),"")</f>
        <v/>
      </c>
    </row>
    <row r="289" spans="4:14" x14ac:dyDescent="0.25">
      <c r="D289">
        <v>6</v>
      </c>
      <c r="E289" t="str">
        <f t="shared" si="36"/>
        <v>110</v>
      </c>
      <c r="G289" s="14" t="str">
        <f t="shared" si="32"/>
        <v>110</v>
      </c>
      <c r="H289" s="9" t="str">
        <f>IF(OR(G289=G288,BITWISE_XOR(G288,G289)=VALUE("111")),"",LEFT(G289,2))</f>
        <v/>
      </c>
      <c r="I289" s="9" t="str">
        <f>IF(OR(G289=G288,BITWISE_XOR(G288,G289)=VALUE("111")),"",RIGHT(G289,1))</f>
        <v/>
      </c>
      <c r="J289" s="9" t="b">
        <f>BITWISE_XOR(BIN2DEC(G288),7)=BIN2DEC(G289)</f>
        <v>0</v>
      </c>
      <c r="K289" s="9">
        <f t="shared" si="33"/>
        <v>1</v>
      </c>
      <c r="L289" s="9" t="str">
        <f t="shared" si="34"/>
        <v>11</v>
      </c>
      <c r="M289" s="15" t="str">
        <f t="shared" si="35"/>
        <v/>
      </c>
      <c r="N289" t="str">
        <f t="shared" si="37"/>
        <v/>
      </c>
    </row>
    <row r="290" spans="4:14" x14ac:dyDescent="0.25">
      <c r="D290">
        <v>6</v>
      </c>
      <c r="E290" t="str">
        <f t="shared" si="36"/>
        <v>110</v>
      </c>
      <c r="G290" s="14" t="str">
        <f t="shared" si="32"/>
        <v>110</v>
      </c>
      <c r="H290" s="9" t="str">
        <f>IF(OR(G290=G289,BITWISE_XOR(G289,G290)=VALUE("111")),"",LEFT(G290,2))</f>
        <v/>
      </c>
      <c r="I290" s="9" t="str">
        <f>IF(OR(G290=G289,BITWISE_XOR(G289,G290)=VALUE("111")),"",RIGHT(G290,1))</f>
        <v/>
      </c>
      <c r="J290" s="9" t="b">
        <f>BITWISE_XOR(BIN2DEC(G289),7)=BIN2DEC(G290)</f>
        <v>0</v>
      </c>
      <c r="K290" s="9">
        <f t="shared" si="33"/>
        <v>1</v>
      </c>
      <c r="L290" s="9" t="str">
        <f t="shared" si="34"/>
        <v>11</v>
      </c>
      <c r="M290" s="15" t="str">
        <f t="shared" si="35"/>
        <v/>
      </c>
      <c r="N290" t="str">
        <f t="shared" si="37"/>
        <v/>
      </c>
    </row>
    <row r="291" spans="4:14" x14ac:dyDescent="0.25">
      <c r="D291">
        <v>6</v>
      </c>
      <c r="E291" t="str">
        <f t="shared" si="36"/>
        <v>110</v>
      </c>
      <c r="G291" s="14" t="str">
        <f t="shared" si="32"/>
        <v>110</v>
      </c>
      <c r="H291" s="9" t="str">
        <f>IF(OR(G291=G290,BITWISE_XOR(G290,G291)=VALUE("111")),"",LEFT(G291,2))</f>
        <v/>
      </c>
      <c r="I291" s="9" t="str">
        <f>IF(OR(G291=G290,BITWISE_XOR(G290,G291)=VALUE("111")),"",RIGHT(G291,1))</f>
        <v/>
      </c>
      <c r="J291" s="9" t="b">
        <f>BITWISE_XOR(BIN2DEC(G290),7)=BIN2DEC(G291)</f>
        <v>0</v>
      </c>
      <c r="K291" s="9">
        <f t="shared" si="33"/>
        <v>1</v>
      </c>
      <c r="L291" s="9" t="str">
        <f t="shared" si="34"/>
        <v>11</v>
      </c>
      <c r="M291" s="15" t="str">
        <f t="shared" si="35"/>
        <v/>
      </c>
      <c r="N291" t="str">
        <f t="shared" si="37"/>
        <v/>
      </c>
    </row>
    <row r="292" spans="4:14" x14ac:dyDescent="0.25">
      <c r="D292">
        <v>6</v>
      </c>
      <c r="E292" t="str">
        <f t="shared" si="36"/>
        <v>110</v>
      </c>
      <c r="G292" s="14" t="str">
        <f t="shared" si="32"/>
        <v>110</v>
      </c>
      <c r="H292" s="9" t="str">
        <f>IF(OR(G292=G291,BITWISE_XOR(G291,G292)=VALUE("111")),"",LEFT(G292,2))</f>
        <v/>
      </c>
      <c r="I292" s="9" t="str">
        <f>IF(OR(G292=G291,BITWISE_XOR(G291,G292)=VALUE("111")),"",RIGHT(G292,1))</f>
        <v/>
      </c>
      <c r="J292" s="9" t="b">
        <f>BITWISE_XOR(BIN2DEC(G291),7)=BIN2DEC(G292)</f>
        <v>0</v>
      </c>
      <c r="K292" s="9">
        <f t="shared" si="33"/>
        <v>1</v>
      </c>
      <c r="L292" s="9" t="str">
        <f t="shared" si="34"/>
        <v>11</v>
      </c>
      <c r="M292" s="15" t="str">
        <f t="shared" si="35"/>
        <v/>
      </c>
      <c r="N292" t="str">
        <f t="shared" si="37"/>
        <v/>
      </c>
    </row>
    <row r="293" spans="4:14" x14ac:dyDescent="0.25">
      <c r="D293">
        <v>6</v>
      </c>
      <c r="E293" t="str">
        <f t="shared" si="36"/>
        <v>110</v>
      </c>
      <c r="G293" s="14" t="str">
        <f t="shared" si="32"/>
        <v>110</v>
      </c>
      <c r="H293" s="9" t="str">
        <f>IF(OR(G293=G292,BITWISE_XOR(G292,G293)=VALUE("111")),"",LEFT(G293,2))</f>
        <v/>
      </c>
      <c r="I293" s="9" t="str">
        <f>IF(OR(G293=G292,BITWISE_XOR(G292,G293)=VALUE("111")),"",RIGHT(G293,1))</f>
        <v/>
      </c>
      <c r="J293" s="9" t="b">
        <f>BITWISE_XOR(BIN2DEC(G292),7)=BIN2DEC(G293)</f>
        <v>0</v>
      </c>
      <c r="K293" s="9">
        <f t="shared" si="33"/>
        <v>1</v>
      </c>
      <c r="L293" s="9" t="str">
        <f t="shared" si="34"/>
        <v>11</v>
      </c>
      <c r="M293" s="15" t="str">
        <f t="shared" si="35"/>
        <v/>
      </c>
      <c r="N293" t="str">
        <f t="shared" si="37"/>
        <v/>
      </c>
    </row>
    <row r="294" spans="4:14" x14ac:dyDescent="0.25">
      <c r="D294">
        <v>7</v>
      </c>
      <c r="E294" t="str">
        <f t="shared" si="36"/>
        <v>111</v>
      </c>
      <c r="G294" s="14" t="str">
        <f t="shared" si="32"/>
        <v>111</v>
      </c>
      <c r="H294" s="9" t="str">
        <f>IF(OR(G294=G293,BITWISE_XOR(G293,G294)=VALUE("111")),"",LEFT(G294,2))</f>
        <v>11</v>
      </c>
      <c r="I294" s="9" t="str">
        <f>IF(OR(G294=G293,BITWISE_XOR(G293,G294)=VALUE("111")),"",RIGHT(G294,1))</f>
        <v>1</v>
      </c>
      <c r="J294" s="9" t="b">
        <f>BITWISE_XOR(BIN2DEC(G293),7)=BIN2DEC(G294)</f>
        <v>0</v>
      </c>
      <c r="K294" s="9">
        <f t="shared" si="33"/>
        <v>2</v>
      </c>
      <c r="L294" s="9" t="str">
        <f t="shared" si="34"/>
        <v>1111</v>
      </c>
      <c r="M294" s="15" t="str">
        <f t="shared" si="35"/>
        <v/>
      </c>
      <c r="N294" t="str">
        <f t="shared" si="37"/>
        <v/>
      </c>
    </row>
    <row r="295" spans="4:14" x14ac:dyDescent="0.25">
      <c r="D295">
        <v>7</v>
      </c>
      <c r="E295" t="str">
        <f t="shared" si="36"/>
        <v>111</v>
      </c>
      <c r="G295" s="14" t="str">
        <f t="shared" si="32"/>
        <v>111</v>
      </c>
      <c r="H295" s="9" t="str">
        <f>IF(OR(G295=G294,BITWISE_XOR(G294,G295)=VALUE("111")),"",LEFT(G295,2))</f>
        <v/>
      </c>
      <c r="I295" s="9" t="str">
        <f>IF(OR(G295=G294,BITWISE_XOR(G294,G295)=VALUE("111")),"",RIGHT(G295,1))</f>
        <v/>
      </c>
      <c r="J295" s="9" t="b">
        <f>BITWISE_XOR(BIN2DEC(G294),7)=BIN2DEC(G295)</f>
        <v>0</v>
      </c>
      <c r="K295" s="9">
        <f t="shared" si="33"/>
        <v>2</v>
      </c>
      <c r="L295" s="9" t="str">
        <f t="shared" si="34"/>
        <v>1111</v>
      </c>
      <c r="M295" s="15" t="str">
        <f t="shared" si="35"/>
        <v/>
      </c>
      <c r="N295" t="str">
        <f t="shared" si="37"/>
        <v/>
      </c>
    </row>
    <row r="296" spans="4:14" x14ac:dyDescent="0.25">
      <c r="D296">
        <v>7</v>
      </c>
      <c r="E296" t="str">
        <f t="shared" si="36"/>
        <v>111</v>
      </c>
      <c r="G296" s="14" t="str">
        <f t="shared" ref="G296:G359" si="38">E296</f>
        <v>111</v>
      </c>
      <c r="H296" s="9" t="str">
        <f>IF(OR(G296=G295,BITWISE_XOR(G295,G296)=VALUE("111")),"",LEFT(G296,2))</f>
        <v/>
      </c>
      <c r="I296" s="9" t="str">
        <f>IF(OR(G296=G295,BITWISE_XOR(G295,G296)=VALUE("111")),"",RIGHT(G296,1))</f>
        <v/>
      </c>
      <c r="J296" s="9" t="b">
        <f>BITWISE_XOR(BIN2DEC(G295),7)=BIN2DEC(G296)</f>
        <v>0</v>
      </c>
      <c r="K296" s="9">
        <f t="shared" ref="K296:K359" si="39">IF(J296=TRUE,0,(IF((H296=""),K295,MOD((K295+1),4))))</f>
        <v>2</v>
      </c>
      <c r="L296" s="9" t="str">
        <f t="shared" ref="L296:L359" si="40">IF(K296=K295,IF(K295=0,H296,L295),IF(K296=1,H296,CONCATENATE(H296,L295)))</f>
        <v>1111</v>
      </c>
      <c r="M296" s="15" t="str">
        <f t="shared" ref="M296:M359" si="41">IF(AND(K296=0,K295=3),BIN2DEC(L296),"")</f>
        <v/>
      </c>
      <c r="N296" t="str">
        <f t="shared" si="37"/>
        <v/>
      </c>
    </row>
    <row r="297" spans="4:14" x14ac:dyDescent="0.25">
      <c r="D297">
        <v>7</v>
      </c>
      <c r="E297" t="str">
        <f t="shared" si="36"/>
        <v>111</v>
      </c>
      <c r="G297" s="14" t="str">
        <f t="shared" si="38"/>
        <v>111</v>
      </c>
      <c r="H297" s="9" t="str">
        <f>IF(OR(G297=G296,BITWISE_XOR(G296,G297)=VALUE("111")),"",LEFT(G297,2))</f>
        <v/>
      </c>
      <c r="I297" s="9" t="str">
        <f>IF(OR(G297=G296,BITWISE_XOR(G296,G297)=VALUE("111")),"",RIGHT(G297,1))</f>
        <v/>
      </c>
      <c r="J297" s="9" t="b">
        <f>BITWISE_XOR(BIN2DEC(G296),7)=BIN2DEC(G297)</f>
        <v>0</v>
      </c>
      <c r="K297" s="9">
        <f t="shared" si="39"/>
        <v>2</v>
      </c>
      <c r="L297" s="9" t="str">
        <f t="shared" si="40"/>
        <v>1111</v>
      </c>
      <c r="M297" s="15" t="str">
        <f t="shared" si="41"/>
        <v/>
      </c>
      <c r="N297" t="str">
        <f t="shared" si="37"/>
        <v/>
      </c>
    </row>
    <row r="298" spans="4:14" x14ac:dyDescent="0.25">
      <c r="D298">
        <v>7</v>
      </c>
      <c r="E298" t="str">
        <f t="shared" si="36"/>
        <v>111</v>
      </c>
      <c r="G298" s="14" t="str">
        <f t="shared" si="38"/>
        <v>111</v>
      </c>
      <c r="H298" s="9" t="str">
        <f>IF(OR(G298=G297,BITWISE_XOR(G297,G298)=VALUE("111")),"",LEFT(G298,2))</f>
        <v/>
      </c>
      <c r="I298" s="9" t="str">
        <f>IF(OR(G298=G297,BITWISE_XOR(G297,G298)=VALUE("111")),"",RIGHT(G298,1))</f>
        <v/>
      </c>
      <c r="J298" s="9" t="b">
        <f>BITWISE_XOR(BIN2DEC(G297),7)=BIN2DEC(G298)</f>
        <v>0</v>
      </c>
      <c r="K298" s="9">
        <f t="shared" si="39"/>
        <v>2</v>
      </c>
      <c r="L298" s="9" t="str">
        <f t="shared" si="40"/>
        <v>1111</v>
      </c>
      <c r="M298" s="15" t="str">
        <f t="shared" si="41"/>
        <v/>
      </c>
      <c r="N298" t="str">
        <f t="shared" si="37"/>
        <v/>
      </c>
    </row>
    <row r="299" spans="4:14" x14ac:dyDescent="0.25">
      <c r="D299">
        <v>7</v>
      </c>
      <c r="E299" t="str">
        <f t="shared" si="36"/>
        <v>111</v>
      </c>
      <c r="G299" s="14" t="str">
        <f t="shared" si="38"/>
        <v>111</v>
      </c>
      <c r="H299" s="9" t="str">
        <f>IF(OR(G299=G298,BITWISE_XOR(G298,G299)=VALUE("111")),"",LEFT(G299,2))</f>
        <v/>
      </c>
      <c r="I299" s="9" t="str">
        <f>IF(OR(G299=G298,BITWISE_XOR(G298,G299)=VALUE("111")),"",RIGHT(G299,1))</f>
        <v/>
      </c>
      <c r="J299" s="9" t="b">
        <f>BITWISE_XOR(BIN2DEC(G298),7)=BIN2DEC(G299)</f>
        <v>0</v>
      </c>
      <c r="K299" s="9">
        <f t="shared" si="39"/>
        <v>2</v>
      </c>
      <c r="L299" s="9" t="str">
        <f t="shared" si="40"/>
        <v>1111</v>
      </c>
      <c r="M299" s="15" t="str">
        <f t="shared" si="41"/>
        <v/>
      </c>
      <c r="N299" t="str">
        <f t="shared" si="37"/>
        <v/>
      </c>
    </row>
    <row r="300" spans="4:14" x14ac:dyDescent="0.25">
      <c r="D300">
        <v>7</v>
      </c>
      <c r="E300" t="str">
        <f t="shared" si="36"/>
        <v>111</v>
      </c>
      <c r="G300" s="14" t="str">
        <f t="shared" si="38"/>
        <v>111</v>
      </c>
      <c r="H300" s="9" t="str">
        <f>IF(OR(G300=G299,BITWISE_XOR(G299,G300)=VALUE("111")),"",LEFT(G300,2))</f>
        <v/>
      </c>
      <c r="I300" s="9" t="str">
        <f>IF(OR(G300=G299,BITWISE_XOR(G299,G300)=VALUE("111")),"",RIGHT(G300,1))</f>
        <v/>
      </c>
      <c r="J300" s="9" t="b">
        <f>BITWISE_XOR(BIN2DEC(G299),7)=BIN2DEC(G300)</f>
        <v>0</v>
      </c>
      <c r="K300" s="9">
        <f t="shared" si="39"/>
        <v>2</v>
      </c>
      <c r="L300" s="9" t="str">
        <f t="shared" si="40"/>
        <v>1111</v>
      </c>
      <c r="M300" s="15" t="str">
        <f t="shared" si="41"/>
        <v/>
      </c>
      <c r="N300" t="str">
        <f t="shared" si="37"/>
        <v/>
      </c>
    </row>
    <row r="301" spans="4:14" x14ac:dyDescent="0.25">
      <c r="D301">
        <v>5</v>
      </c>
      <c r="E301" t="str">
        <f t="shared" si="36"/>
        <v>101</v>
      </c>
      <c r="G301" s="14" t="str">
        <f t="shared" si="38"/>
        <v>101</v>
      </c>
      <c r="H301" s="9" t="str">
        <f>IF(OR(G301=G300,BITWISE_XOR(G300,G301)=VALUE("111")),"",LEFT(G301,2))</f>
        <v>10</v>
      </c>
      <c r="I301" s="9" t="str">
        <f>IF(OR(G301=G300,BITWISE_XOR(G300,G301)=VALUE("111")),"",RIGHT(G301,1))</f>
        <v>1</v>
      </c>
      <c r="J301" s="9" t="b">
        <f>BITWISE_XOR(BIN2DEC(G300),7)=BIN2DEC(G301)</f>
        <v>0</v>
      </c>
      <c r="K301" s="9">
        <f t="shared" si="39"/>
        <v>3</v>
      </c>
      <c r="L301" s="9" t="str">
        <f t="shared" si="40"/>
        <v>101111</v>
      </c>
      <c r="M301" s="15" t="str">
        <f t="shared" si="41"/>
        <v/>
      </c>
      <c r="N301" t="str">
        <f t="shared" si="37"/>
        <v/>
      </c>
    </row>
    <row r="302" spans="4:14" x14ac:dyDescent="0.25">
      <c r="D302">
        <v>5</v>
      </c>
      <c r="E302" t="str">
        <f t="shared" si="36"/>
        <v>101</v>
      </c>
      <c r="G302" s="14" t="str">
        <f t="shared" si="38"/>
        <v>101</v>
      </c>
      <c r="H302" s="9" t="str">
        <f>IF(OR(G302=G301,BITWISE_XOR(G301,G302)=VALUE("111")),"",LEFT(G302,2))</f>
        <v/>
      </c>
      <c r="I302" s="9" t="str">
        <f>IF(OR(G302=G301,BITWISE_XOR(G301,G302)=VALUE("111")),"",RIGHT(G302,1))</f>
        <v/>
      </c>
      <c r="J302" s="9" t="b">
        <f>BITWISE_XOR(BIN2DEC(G301),7)=BIN2DEC(G302)</f>
        <v>0</v>
      </c>
      <c r="K302" s="9">
        <f t="shared" si="39"/>
        <v>3</v>
      </c>
      <c r="L302" s="9" t="str">
        <f t="shared" si="40"/>
        <v>101111</v>
      </c>
      <c r="M302" s="15" t="str">
        <f t="shared" si="41"/>
        <v/>
      </c>
      <c r="N302" t="str">
        <f t="shared" si="37"/>
        <v/>
      </c>
    </row>
    <row r="303" spans="4:14" x14ac:dyDescent="0.25">
      <c r="D303">
        <v>5</v>
      </c>
      <c r="E303" t="str">
        <f t="shared" si="36"/>
        <v>101</v>
      </c>
      <c r="G303" s="14" t="str">
        <f t="shared" si="38"/>
        <v>101</v>
      </c>
      <c r="H303" s="9" t="str">
        <f>IF(OR(G303=G302,BITWISE_XOR(G302,G303)=VALUE("111")),"",LEFT(G303,2))</f>
        <v/>
      </c>
      <c r="I303" s="9" t="str">
        <f>IF(OR(G303=G302,BITWISE_XOR(G302,G303)=VALUE("111")),"",RIGHT(G303,1))</f>
        <v/>
      </c>
      <c r="J303" s="9" t="b">
        <f>BITWISE_XOR(BIN2DEC(G302),7)=BIN2DEC(G303)</f>
        <v>0</v>
      </c>
      <c r="K303" s="9">
        <f t="shared" si="39"/>
        <v>3</v>
      </c>
      <c r="L303" s="9" t="str">
        <f t="shared" si="40"/>
        <v>101111</v>
      </c>
      <c r="M303" s="15" t="str">
        <f t="shared" si="41"/>
        <v/>
      </c>
      <c r="N303" t="str">
        <f t="shared" si="37"/>
        <v/>
      </c>
    </row>
    <row r="304" spans="4:14" x14ac:dyDescent="0.25">
      <c r="D304">
        <v>5</v>
      </c>
      <c r="E304" t="str">
        <f t="shared" si="36"/>
        <v>101</v>
      </c>
      <c r="G304" s="14" t="str">
        <f t="shared" si="38"/>
        <v>101</v>
      </c>
      <c r="H304" s="9" t="str">
        <f>IF(OR(G304=G303,BITWISE_XOR(G303,G304)=VALUE("111")),"",LEFT(G304,2))</f>
        <v/>
      </c>
      <c r="I304" s="9" t="str">
        <f>IF(OR(G304=G303,BITWISE_XOR(G303,G304)=VALUE("111")),"",RIGHT(G304,1))</f>
        <v/>
      </c>
      <c r="J304" s="9" t="b">
        <f>BITWISE_XOR(BIN2DEC(G303),7)=BIN2DEC(G304)</f>
        <v>0</v>
      </c>
      <c r="K304" s="9">
        <f t="shared" si="39"/>
        <v>3</v>
      </c>
      <c r="L304" s="9" t="str">
        <f t="shared" si="40"/>
        <v>101111</v>
      </c>
      <c r="M304" s="15" t="str">
        <f t="shared" si="41"/>
        <v/>
      </c>
      <c r="N304" t="str">
        <f t="shared" si="37"/>
        <v/>
      </c>
    </row>
    <row r="305" spans="4:14" x14ac:dyDescent="0.25">
      <c r="D305">
        <v>5</v>
      </c>
      <c r="E305" t="str">
        <f t="shared" ref="E305:E368" si="42">DEC2BIN(D305,3)</f>
        <v>101</v>
      </c>
      <c r="G305" s="14" t="str">
        <f t="shared" si="38"/>
        <v>101</v>
      </c>
      <c r="H305" s="9" t="str">
        <f>IF(OR(G305=G304,BITWISE_XOR(G304,G305)=VALUE("111")),"",LEFT(G305,2))</f>
        <v/>
      </c>
      <c r="I305" s="9" t="str">
        <f>IF(OR(G305=G304,BITWISE_XOR(G304,G305)=VALUE("111")),"",RIGHT(G305,1))</f>
        <v/>
      </c>
      <c r="J305" s="9" t="b">
        <f>BITWISE_XOR(BIN2DEC(G304),7)=BIN2DEC(G305)</f>
        <v>0</v>
      </c>
      <c r="K305" s="9">
        <f t="shared" si="39"/>
        <v>3</v>
      </c>
      <c r="L305" s="9" t="str">
        <f t="shared" si="40"/>
        <v>101111</v>
      </c>
      <c r="M305" s="15" t="str">
        <f t="shared" si="41"/>
        <v/>
      </c>
      <c r="N305" t="str">
        <f t="shared" si="37"/>
        <v/>
      </c>
    </row>
    <row r="306" spans="4:14" x14ac:dyDescent="0.25">
      <c r="D306">
        <v>5</v>
      </c>
      <c r="E306" t="str">
        <f t="shared" si="42"/>
        <v>101</v>
      </c>
      <c r="G306" s="14" t="str">
        <f t="shared" si="38"/>
        <v>101</v>
      </c>
      <c r="H306" s="9" t="str">
        <f>IF(OR(G306=G305,BITWISE_XOR(G305,G306)=VALUE("111")),"",LEFT(G306,2))</f>
        <v/>
      </c>
      <c r="I306" s="9" t="str">
        <f>IF(OR(G306=G305,BITWISE_XOR(G305,G306)=VALUE("111")),"",RIGHT(G306,1))</f>
        <v/>
      </c>
      <c r="J306" s="9" t="b">
        <f>BITWISE_XOR(BIN2DEC(G305),7)=BIN2DEC(G306)</f>
        <v>0</v>
      </c>
      <c r="K306" s="9">
        <f t="shared" si="39"/>
        <v>3</v>
      </c>
      <c r="L306" s="9" t="str">
        <f t="shared" si="40"/>
        <v>101111</v>
      </c>
      <c r="M306" s="15" t="str">
        <f t="shared" si="41"/>
        <v/>
      </c>
      <c r="N306" t="str">
        <f t="shared" si="37"/>
        <v/>
      </c>
    </row>
    <row r="307" spans="4:14" x14ac:dyDescent="0.25">
      <c r="D307">
        <v>5</v>
      </c>
      <c r="E307" t="str">
        <f t="shared" si="42"/>
        <v>101</v>
      </c>
      <c r="G307" s="14" t="str">
        <f t="shared" si="38"/>
        <v>101</v>
      </c>
      <c r="H307" s="9" t="str">
        <f>IF(OR(G307=G306,BITWISE_XOR(G306,G307)=VALUE("111")),"",LEFT(G307,2))</f>
        <v/>
      </c>
      <c r="I307" s="9" t="str">
        <f>IF(OR(G307=G306,BITWISE_XOR(G306,G307)=VALUE("111")),"",RIGHT(G307,1))</f>
        <v/>
      </c>
      <c r="J307" s="9" t="b">
        <f>BITWISE_XOR(BIN2DEC(G306),7)=BIN2DEC(G307)</f>
        <v>0</v>
      </c>
      <c r="K307" s="9">
        <f t="shared" si="39"/>
        <v>3</v>
      </c>
      <c r="L307" s="9" t="str">
        <f t="shared" si="40"/>
        <v>101111</v>
      </c>
      <c r="M307" s="15" t="str">
        <f t="shared" si="41"/>
        <v/>
      </c>
      <c r="N307" t="str">
        <f t="shared" si="37"/>
        <v/>
      </c>
    </row>
    <row r="308" spans="4:14" x14ac:dyDescent="0.25">
      <c r="D308">
        <v>3</v>
      </c>
      <c r="E308" t="str">
        <f t="shared" si="42"/>
        <v>011</v>
      </c>
      <c r="G308" s="14" t="str">
        <f t="shared" si="38"/>
        <v>011</v>
      </c>
      <c r="H308" s="9" t="str">
        <f>IF(OR(G308=G307,BITWISE_XOR(G307,G308)=VALUE("111")),"",LEFT(G308,2))</f>
        <v>01</v>
      </c>
      <c r="I308" s="9" t="str">
        <f>IF(OR(G308=G307,BITWISE_XOR(G307,G308)=VALUE("111")),"",RIGHT(G308,1))</f>
        <v>1</v>
      </c>
      <c r="J308" s="9" t="b">
        <f>BITWISE_XOR(BIN2DEC(G307),7)=BIN2DEC(G308)</f>
        <v>0</v>
      </c>
      <c r="K308" s="9">
        <f t="shared" si="39"/>
        <v>0</v>
      </c>
      <c r="L308" s="9" t="str">
        <f t="shared" si="40"/>
        <v>01101111</v>
      </c>
      <c r="M308" s="15">
        <f t="shared" si="41"/>
        <v>111</v>
      </c>
      <c r="N308" t="str">
        <f t="shared" si="37"/>
        <v>o</v>
      </c>
    </row>
    <row r="309" spans="4:14" x14ac:dyDescent="0.25">
      <c r="D309">
        <v>3</v>
      </c>
      <c r="E309" t="str">
        <f t="shared" si="42"/>
        <v>011</v>
      </c>
      <c r="G309" s="14" t="str">
        <f t="shared" si="38"/>
        <v>011</v>
      </c>
      <c r="H309" s="9" t="str">
        <f>IF(OR(G309=G308,BITWISE_XOR(G308,G309)=VALUE("111")),"",LEFT(G309,2))</f>
        <v/>
      </c>
      <c r="I309" s="9" t="str">
        <f>IF(OR(G309=G308,BITWISE_XOR(G308,G309)=VALUE("111")),"",RIGHT(G309,1))</f>
        <v/>
      </c>
      <c r="J309" s="9" t="b">
        <f>BITWISE_XOR(BIN2DEC(G308),7)=BIN2DEC(G309)</f>
        <v>0</v>
      </c>
      <c r="K309" s="9">
        <f t="shared" si="39"/>
        <v>0</v>
      </c>
      <c r="L309" s="9" t="str">
        <f t="shared" si="40"/>
        <v/>
      </c>
      <c r="M309" s="15" t="str">
        <f t="shared" si="41"/>
        <v/>
      </c>
      <c r="N309" t="str">
        <f t="shared" si="37"/>
        <v/>
      </c>
    </row>
    <row r="310" spans="4:14" x14ac:dyDescent="0.25">
      <c r="D310">
        <v>3</v>
      </c>
      <c r="E310" t="str">
        <f t="shared" si="42"/>
        <v>011</v>
      </c>
      <c r="G310" s="14" t="str">
        <f t="shared" si="38"/>
        <v>011</v>
      </c>
      <c r="H310" s="9" t="str">
        <f>IF(OR(G310=G309,BITWISE_XOR(G309,G310)=VALUE("111")),"",LEFT(G310,2))</f>
        <v/>
      </c>
      <c r="I310" s="9" t="str">
        <f>IF(OR(G310=G309,BITWISE_XOR(G309,G310)=VALUE("111")),"",RIGHT(G310,1))</f>
        <v/>
      </c>
      <c r="J310" s="9" t="b">
        <f>BITWISE_XOR(BIN2DEC(G309),7)=BIN2DEC(G310)</f>
        <v>0</v>
      </c>
      <c r="K310" s="9">
        <f t="shared" si="39"/>
        <v>0</v>
      </c>
      <c r="L310" s="9" t="str">
        <f t="shared" si="40"/>
        <v/>
      </c>
      <c r="M310" s="15" t="str">
        <f t="shared" si="41"/>
        <v/>
      </c>
      <c r="N310" t="str">
        <f t="shared" si="37"/>
        <v/>
      </c>
    </row>
    <row r="311" spans="4:14" x14ac:dyDescent="0.25">
      <c r="D311">
        <v>3</v>
      </c>
      <c r="E311" t="str">
        <f t="shared" si="42"/>
        <v>011</v>
      </c>
      <c r="G311" s="14" t="str">
        <f t="shared" si="38"/>
        <v>011</v>
      </c>
      <c r="H311" s="9" t="str">
        <f>IF(OR(G311=G310,BITWISE_XOR(G310,G311)=VALUE("111")),"",LEFT(G311,2))</f>
        <v/>
      </c>
      <c r="I311" s="9" t="str">
        <f>IF(OR(G311=G310,BITWISE_XOR(G310,G311)=VALUE("111")),"",RIGHT(G311,1))</f>
        <v/>
      </c>
      <c r="J311" s="9" t="b">
        <f>BITWISE_XOR(BIN2DEC(G310),7)=BIN2DEC(G311)</f>
        <v>0</v>
      </c>
      <c r="K311" s="9">
        <f t="shared" si="39"/>
        <v>0</v>
      </c>
      <c r="L311" s="9" t="str">
        <f t="shared" si="40"/>
        <v/>
      </c>
      <c r="M311" s="15" t="str">
        <f t="shared" si="41"/>
        <v/>
      </c>
      <c r="N311" t="str">
        <f t="shared" si="37"/>
        <v/>
      </c>
    </row>
    <row r="312" spans="4:14" x14ac:dyDescent="0.25">
      <c r="D312">
        <v>3</v>
      </c>
      <c r="E312" t="str">
        <f t="shared" si="42"/>
        <v>011</v>
      </c>
      <c r="G312" s="14" t="str">
        <f t="shared" si="38"/>
        <v>011</v>
      </c>
      <c r="H312" s="9" t="str">
        <f>IF(OR(G312=G311,BITWISE_XOR(G311,G312)=VALUE("111")),"",LEFT(G312,2))</f>
        <v/>
      </c>
      <c r="I312" s="9" t="str">
        <f>IF(OR(G312=G311,BITWISE_XOR(G311,G312)=VALUE("111")),"",RIGHT(G312,1))</f>
        <v/>
      </c>
      <c r="J312" s="9" t="b">
        <f>BITWISE_XOR(BIN2DEC(G311),7)=BIN2DEC(G312)</f>
        <v>0</v>
      </c>
      <c r="K312" s="9">
        <f t="shared" si="39"/>
        <v>0</v>
      </c>
      <c r="L312" s="9" t="str">
        <f t="shared" si="40"/>
        <v/>
      </c>
      <c r="M312" s="15" t="str">
        <f t="shared" si="41"/>
        <v/>
      </c>
      <c r="N312" t="str">
        <f t="shared" si="37"/>
        <v/>
      </c>
    </row>
    <row r="313" spans="4:14" x14ac:dyDescent="0.25">
      <c r="D313">
        <v>3</v>
      </c>
      <c r="E313" t="str">
        <f t="shared" si="42"/>
        <v>011</v>
      </c>
      <c r="G313" s="14" t="str">
        <f t="shared" si="38"/>
        <v>011</v>
      </c>
      <c r="H313" s="9" t="str">
        <f>IF(OR(G313=G312,BITWISE_XOR(G312,G313)=VALUE("111")),"",LEFT(G313,2))</f>
        <v/>
      </c>
      <c r="I313" s="9" t="str">
        <f>IF(OR(G313=G312,BITWISE_XOR(G312,G313)=VALUE("111")),"",RIGHT(G313,1))</f>
        <v/>
      </c>
      <c r="J313" s="9" t="b">
        <f>BITWISE_XOR(BIN2DEC(G312),7)=BIN2DEC(G313)</f>
        <v>0</v>
      </c>
      <c r="K313" s="9">
        <f t="shared" si="39"/>
        <v>0</v>
      </c>
      <c r="L313" s="9" t="str">
        <f t="shared" si="40"/>
        <v/>
      </c>
      <c r="M313" s="15" t="str">
        <f t="shared" si="41"/>
        <v/>
      </c>
      <c r="N313" t="str">
        <f t="shared" si="37"/>
        <v/>
      </c>
    </row>
    <row r="314" spans="4:14" x14ac:dyDescent="0.25">
      <c r="D314">
        <v>3</v>
      </c>
      <c r="E314" t="str">
        <f t="shared" si="42"/>
        <v>011</v>
      </c>
      <c r="G314" s="14" t="str">
        <f t="shared" si="38"/>
        <v>011</v>
      </c>
      <c r="H314" s="9" t="str">
        <f>IF(OR(G314=G313,BITWISE_XOR(G313,G314)=VALUE("111")),"",LEFT(G314,2))</f>
        <v/>
      </c>
      <c r="I314" s="9" t="str">
        <f>IF(OR(G314=G313,BITWISE_XOR(G313,G314)=VALUE("111")),"",RIGHT(G314,1))</f>
        <v/>
      </c>
      <c r="J314" s="9" t="b">
        <f>BITWISE_XOR(BIN2DEC(G313),7)=BIN2DEC(G314)</f>
        <v>0</v>
      </c>
      <c r="K314" s="9">
        <f t="shared" si="39"/>
        <v>0</v>
      </c>
      <c r="L314" s="9" t="str">
        <f t="shared" si="40"/>
        <v/>
      </c>
      <c r="M314" s="15" t="str">
        <f t="shared" si="41"/>
        <v/>
      </c>
      <c r="N314" t="str">
        <f t="shared" si="37"/>
        <v/>
      </c>
    </row>
    <row r="315" spans="4:14" x14ac:dyDescent="0.25">
      <c r="D315">
        <v>5</v>
      </c>
      <c r="E315" t="str">
        <f t="shared" si="42"/>
        <v>101</v>
      </c>
      <c r="G315" s="14" t="str">
        <f t="shared" si="38"/>
        <v>101</v>
      </c>
      <c r="H315" s="9" t="str">
        <f>IF(OR(G315=G314,BITWISE_XOR(G314,G315)=VALUE("111")),"",LEFT(G315,2))</f>
        <v>10</v>
      </c>
      <c r="I315" s="9" t="str">
        <f>IF(OR(G315=G314,BITWISE_XOR(G314,G315)=VALUE("111")),"",RIGHT(G315,1))</f>
        <v>1</v>
      </c>
      <c r="J315" s="9" t="b">
        <f>BITWISE_XOR(BIN2DEC(G314),7)=BIN2DEC(G315)</f>
        <v>0</v>
      </c>
      <c r="K315" s="9">
        <f t="shared" si="39"/>
        <v>1</v>
      </c>
      <c r="L315" s="9" t="str">
        <f t="shared" si="40"/>
        <v>10</v>
      </c>
      <c r="M315" s="15" t="str">
        <f t="shared" si="41"/>
        <v/>
      </c>
      <c r="N315" t="str">
        <f t="shared" si="37"/>
        <v/>
      </c>
    </row>
    <row r="316" spans="4:14" x14ac:dyDescent="0.25">
      <c r="D316">
        <v>5</v>
      </c>
      <c r="E316" t="str">
        <f t="shared" si="42"/>
        <v>101</v>
      </c>
      <c r="G316" s="14" t="str">
        <f t="shared" si="38"/>
        <v>101</v>
      </c>
      <c r="H316" s="9" t="str">
        <f>IF(OR(G316=G315,BITWISE_XOR(G315,G316)=VALUE("111")),"",LEFT(G316,2))</f>
        <v/>
      </c>
      <c r="I316" s="9" t="str">
        <f>IF(OR(G316=G315,BITWISE_XOR(G315,G316)=VALUE("111")),"",RIGHT(G316,1))</f>
        <v/>
      </c>
      <c r="J316" s="9" t="b">
        <f>BITWISE_XOR(BIN2DEC(G315),7)=BIN2DEC(G316)</f>
        <v>0</v>
      </c>
      <c r="K316" s="9">
        <f t="shared" si="39"/>
        <v>1</v>
      </c>
      <c r="L316" s="9" t="str">
        <f t="shared" si="40"/>
        <v>10</v>
      </c>
      <c r="M316" s="15" t="str">
        <f t="shared" si="41"/>
        <v/>
      </c>
      <c r="N316" t="str">
        <f t="shared" si="37"/>
        <v/>
      </c>
    </row>
    <row r="317" spans="4:14" x14ac:dyDescent="0.25">
      <c r="D317">
        <v>5</v>
      </c>
      <c r="E317" t="str">
        <f t="shared" si="42"/>
        <v>101</v>
      </c>
      <c r="G317" s="14" t="str">
        <f t="shared" si="38"/>
        <v>101</v>
      </c>
      <c r="H317" s="9" t="str">
        <f>IF(OR(G317=G316,BITWISE_XOR(G316,G317)=VALUE("111")),"",LEFT(G317,2))</f>
        <v/>
      </c>
      <c r="I317" s="9" t="str">
        <f>IF(OR(G317=G316,BITWISE_XOR(G316,G317)=VALUE("111")),"",RIGHT(G317,1))</f>
        <v/>
      </c>
      <c r="J317" s="9" t="b">
        <f>BITWISE_XOR(BIN2DEC(G316),7)=BIN2DEC(G317)</f>
        <v>0</v>
      </c>
      <c r="K317" s="9">
        <f t="shared" si="39"/>
        <v>1</v>
      </c>
      <c r="L317" s="9" t="str">
        <f t="shared" si="40"/>
        <v>10</v>
      </c>
      <c r="M317" s="15" t="str">
        <f t="shared" si="41"/>
        <v/>
      </c>
      <c r="N317" t="str">
        <f t="shared" si="37"/>
        <v/>
      </c>
    </row>
    <row r="318" spans="4:14" x14ac:dyDescent="0.25">
      <c r="D318">
        <v>5</v>
      </c>
      <c r="E318" t="str">
        <f t="shared" si="42"/>
        <v>101</v>
      </c>
      <c r="G318" s="14" t="str">
        <f t="shared" si="38"/>
        <v>101</v>
      </c>
      <c r="H318" s="9" t="str">
        <f>IF(OR(G318=G317,BITWISE_XOR(G317,G318)=VALUE("111")),"",LEFT(G318,2))</f>
        <v/>
      </c>
      <c r="I318" s="9" t="str">
        <f>IF(OR(G318=G317,BITWISE_XOR(G317,G318)=VALUE("111")),"",RIGHT(G318,1))</f>
        <v/>
      </c>
      <c r="J318" s="9" t="b">
        <f>BITWISE_XOR(BIN2DEC(G317),7)=BIN2DEC(G318)</f>
        <v>0</v>
      </c>
      <c r="K318" s="9">
        <f t="shared" si="39"/>
        <v>1</v>
      </c>
      <c r="L318" s="9" t="str">
        <f t="shared" si="40"/>
        <v>10</v>
      </c>
      <c r="M318" s="15" t="str">
        <f t="shared" si="41"/>
        <v/>
      </c>
      <c r="N318" t="str">
        <f t="shared" si="37"/>
        <v/>
      </c>
    </row>
    <row r="319" spans="4:14" x14ac:dyDescent="0.25">
      <c r="D319">
        <v>5</v>
      </c>
      <c r="E319" t="str">
        <f t="shared" si="42"/>
        <v>101</v>
      </c>
      <c r="G319" s="14" t="str">
        <f t="shared" si="38"/>
        <v>101</v>
      </c>
      <c r="H319" s="9" t="str">
        <f>IF(OR(G319=G318,BITWISE_XOR(G318,G319)=VALUE("111")),"",LEFT(G319,2))</f>
        <v/>
      </c>
      <c r="I319" s="9" t="str">
        <f>IF(OR(G319=G318,BITWISE_XOR(G318,G319)=VALUE("111")),"",RIGHT(G319,1))</f>
        <v/>
      </c>
      <c r="J319" s="9" t="b">
        <f>BITWISE_XOR(BIN2DEC(G318),7)=BIN2DEC(G319)</f>
        <v>0</v>
      </c>
      <c r="K319" s="9">
        <f t="shared" si="39"/>
        <v>1</v>
      </c>
      <c r="L319" s="9" t="str">
        <f t="shared" si="40"/>
        <v>10</v>
      </c>
      <c r="M319" s="15" t="str">
        <f t="shared" si="41"/>
        <v/>
      </c>
      <c r="N319" t="str">
        <f t="shared" si="37"/>
        <v/>
      </c>
    </row>
    <row r="320" spans="4:14" x14ac:dyDescent="0.25">
      <c r="D320">
        <v>5</v>
      </c>
      <c r="E320" t="str">
        <f t="shared" si="42"/>
        <v>101</v>
      </c>
      <c r="G320" s="14" t="str">
        <f t="shared" si="38"/>
        <v>101</v>
      </c>
      <c r="H320" s="9" t="str">
        <f>IF(OR(G320=G319,BITWISE_XOR(G319,G320)=VALUE("111")),"",LEFT(G320,2))</f>
        <v/>
      </c>
      <c r="I320" s="9" t="str">
        <f>IF(OR(G320=G319,BITWISE_XOR(G319,G320)=VALUE("111")),"",RIGHT(G320,1))</f>
        <v/>
      </c>
      <c r="J320" s="9" t="b">
        <f>BITWISE_XOR(BIN2DEC(G319),7)=BIN2DEC(G320)</f>
        <v>0</v>
      </c>
      <c r="K320" s="9">
        <f t="shared" si="39"/>
        <v>1</v>
      </c>
      <c r="L320" s="9" t="str">
        <f t="shared" si="40"/>
        <v>10</v>
      </c>
      <c r="M320" s="15" t="str">
        <f t="shared" si="41"/>
        <v/>
      </c>
      <c r="N320" t="str">
        <f t="shared" si="37"/>
        <v/>
      </c>
    </row>
    <row r="321" spans="4:14" x14ac:dyDescent="0.25">
      <c r="D321">
        <v>5</v>
      </c>
      <c r="E321" t="str">
        <f t="shared" si="42"/>
        <v>101</v>
      </c>
      <c r="G321" s="14" t="str">
        <f t="shared" si="38"/>
        <v>101</v>
      </c>
      <c r="H321" s="9" t="str">
        <f>IF(OR(G321=G320,BITWISE_XOR(G320,G321)=VALUE("111")),"",LEFT(G321,2))</f>
        <v/>
      </c>
      <c r="I321" s="9" t="str">
        <f>IF(OR(G321=G320,BITWISE_XOR(G320,G321)=VALUE("111")),"",RIGHT(G321,1))</f>
        <v/>
      </c>
      <c r="J321" s="9" t="b">
        <f>BITWISE_XOR(BIN2DEC(G320),7)=BIN2DEC(G321)</f>
        <v>0</v>
      </c>
      <c r="K321" s="9">
        <f t="shared" si="39"/>
        <v>1</v>
      </c>
      <c r="L321" s="9" t="str">
        <f t="shared" si="40"/>
        <v>10</v>
      </c>
      <c r="M321" s="15" t="str">
        <f t="shared" si="41"/>
        <v/>
      </c>
      <c r="N321" t="str">
        <f t="shared" si="37"/>
        <v/>
      </c>
    </row>
    <row r="322" spans="4:14" x14ac:dyDescent="0.25">
      <c r="D322">
        <v>1</v>
      </c>
      <c r="E322" t="str">
        <f t="shared" si="42"/>
        <v>001</v>
      </c>
      <c r="G322" s="14" t="str">
        <f t="shared" si="38"/>
        <v>001</v>
      </c>
      <c r="H322" s="9" t="str">
        <f>IF(OR(G322=G321,BITWISE_XOR(G321,G322)=VALUE("111")),"",LEFT(G322,2))</f>
        <v>00</v>
      </c>
      <c r="I322" s="9" t="str">
        <f>IF(OR(G322=G321,BITWISE_XOR(G321,G322)=VALUE("111")),"",RIGHT(G322,1))</f>
        <v>1</v>
      </c>
      <c r="J322" s="9" t="b">
        <f>BITWISE_XOR(BIN2DEC(G321),7)=BIN2DEC(G322)</f>
        <v>0</v>
      </c>
      <c r="K322" s="9">
        <f t="shared" si="39"/>
        <v>2</v>
      </c>
      <c r="L322" s="9" t="str">
        <f t="shared" si="40"/>
        <v>0010</v>
      </c>
      <c r="M322" s="15" t="str">
        <f t="shared" si="41"/>
        <v/>
      </c>
      <c r="N322" t="str">
        <f t="shared" si="37"/>
        <v/>
      </c>
    </row>
    <row r="323" spans="4:14" x14ac:dyDescent="0.25">
      <c r="D323">
        <v>1</v>
      </c>
      <c r="E323" t="str">
        <f t="shared" si="42"/>
        <v>001</v>
      </c>
      <c r="G323" s="14" t="str">
        <f t="shared" si="38"/>
        <v>001</v>
      </c>
      <c r="H323" s="9" t="str">
        <f>IF(OR(G323=G322,BITWISE_XOR(G322,G323)=VALUE("111")),"",LEFT(G323,2))</f>
        <v/>
      </c>
      <c r="I323" s="9" t="str">
        <f>IF(OR(G323=G322,BITWISE_XOR(G322,G323)=VALUE("111")),"",RIGHT(G323,1))</f>
        <v/>
      </c>
      <c r="J323" s="9" t="b">
        <f>BITWISE_XOR(BIN2DEC(G322),7)=BIN2DEC(G323)</f>
        <v>0</v>
      </c>
      <c r="K323" s="9">
        <f t="shared" si="39"/>
        <v>2</v>
      </c>
      <c r="L323" s="9" t="str">
        <f t="shared" si="40"/>
        <v>0010</v>
      </c>
      <c r="M323" s="15" t="str">
        <f t="shared" si="41"/>
        <v/>
      </c>
      <c r="N323" t="str">
        <f t="shared" si="37"/>
        <v/>
      </c>
    </row>
    <row r="324" spans="4:14" x14ac:dyDescent="0.25">
      <c r="D324">
        <v>1</v>
      </c>
      <c r="E324" t="str">
        <f t="shared" si="42"/>
        <v>001</v>
      </c>
      <c r="G324" s="14" t="str">
        <f t="shared" si="38"/>
        <v>001</v>
      </c>
      <c r="H324" s="9" t="str">
        <f>IF(OR(G324=G323,BITWISE_XOR(G323,G324)=VALUE("111")),"",LEFT(G324,2))</f>
        <v/>
      </c>
      <c r="I324" s="9" t="str">
        <f>IF(OR(G324=G323,BITWISE_XOR(G323,G324)=VALUE("111")),"",RIGHT(G324,1))</f>
        <v/>
      </c>
      <c r="J324" s="9" t="b">
        <f>BITWISE_XOR(BIN2DEC(G323),7)=BIN2DEC(G324)</f>
        <v>0</v>
      </c>
      <c r="K324" s="9">
        <f t="shared" si="39"/>
        <v>2</v>
      </c>
      <c r="L324" s="9" t="str">
        <f t="shared" si="40"/>
        <v>0010</v>
      </c>
      <c r="M324" s="15" t="str">
        <f t="shared" si="41"/>
        <v/>
      </c>
      <c r="N324" t="str">
        <f t="shared" si="37"/>
        <v/>
      </c>
    </row>
    <row r="325" spans="4:14" x14ac:dyDescent="0.25">
      <c r="D325">
        <v>1</v>
      </c>
      <c r="E325" t="str">
        <f t="shared" si="42"/>
        <v>001</v>
      </c>
      <c r="G325" s="14" t="str">
        <f t="shared" si="38"/>
        <v>001</v>
      </c>
      <c r="H325" s="9" t="str">
        <f>IF(OR(G325=G324,BITWISE_XOR(G324,G325)=VALUE("111")),"",LEFT(G325,2))</f>
        <v/>
      </c>
      <c r="I325" s="9" t="str">
        <f>IF(OR(G325=G324,BITWISE_XOR(G324,G325)=VALUE("111")),"",RIGHT(G325,1))</f>
        <v/>
      </c>
      <c r="J325" s="9" t="b">
        <f>BITWISE_XOR(BIN2DEC(G324),7)=BIN2DEC(G325)</f>
        <v>0</v>
      </c>
      <c r="K325" s="9">
        <f t="shared" si="39"/>
        <v>2</v>
      </c>
      <c r="L325" s="9" t="str">
        <f t="shared" si="40"/>
        <v>0010</v>
      </c>
      <c r="M325" s="15" t="str">
        <f t="shared" si="41"/>
        <v/>
      </c>
      <c r="N325" t="str">
        <f t="shared" si="37"/>
        <v/>
      </c>
    </row>
    <row r="326" spans="4:14" x14ac:dyDescent="0.25">
      <c r="D326">
        <v>1</v>
      </c>
      <c r="E326" t="str">
        <f t="shared" si="42"/>
        <v>001</v>
      </c>
      <c r="G326" s="14" t="str">
        <f t="shared" si="38"/>
        <v>001</v>
      </c>
      <c r="H326" s="9" t="str">
        <f>IF(OR(G326=G325,BITWISE_XOR(G325,G326)=VALUE("111")),"",LEFT(G326,2))</f>
        <v/>
      </c>
      <c r="I326" s="9" t="str">
        <f>IF(OR(G326=G325,BITWISE_XOR(G325,G326)=VALUE("111")),"",RIGHT(G326,1))</f>
        <v/>
      </c>
      <c r="J326" s="9" t="b">
        <f>BITWISE_XOR(BIN2DEC(G325),7)=BIN2DEC(G326)</f>
        <v>0</v>
      </c>
      <c r="K326" s="9">
        <f t="shared" si="39"/>
        <v>2</v>
      </c>
      <c r="L326" s="9" t="str">
        <f t="shared" si="40"/>
        <v>0010</v>
      </c>
      <c r="M326" s="15" t="str">
        <f t="shared" si="41"/>
        <v/>
      </c>
      <c r="N326" t="str">
        <f t="shared" si="37"/>
        <v/>
      </c>
    </row>
    <row r="327" spans="4:14" x14ac:dyDescent="0.25">
      <c r="D327">
        <v>1</v>
      </c>
      <c r="E327" t="str">
        <f t="shared" si="42"/>
        <v>001</v>
      </c>
      <c r="G327" s="14" t="str">
        <f t="shared" si="38"/>
        <v>001</v>
      </c>
      <c r="H327" s="9" t="str">
        <f>IF(OR(G327=G326,BITWISE_XOR(G326,G327)=VALUE("111")),"",LEFT(G327,2))</f>
        <v/>
      </c>
      <c r="I327" s="9" t="str">
        <f>IF(OR(G327=G326,BITWISE_XOR(G326,G327)=VALUE("111")),"",RIGHT(G327,1))</f>
        <v/>
      </c>
      <c r="J327" s="9" t="b">
        <f>BITWISE_XOR(BIN2DEC(G326),7)=BIN2DEC(G327)</f>
        <v>0</v>
      </c>
      <c r="K327" s="9">
        <f t="shared" si="39"/>
        <v>2</v>
      </c>
      <c r="L327" s="9" t="str">
        <f t="shared" si="40"/>
        <v>0010</v>
      </c>
      <c r="M327" s="15" t="str">
        <f t="shared" si="41"/>
        <v/>
      </c>
      <c r="N327" t="str">
        <f t="shared" si="37"/>
        <v/>
      </c>
    </row>
    <row r="328" spans="4:14" x14ac:dyDescent="0.25">
      <c r="D328">
        <v>1</v>
      </c>
      <c r="E328" t="str">
        <f t="shared" si="42"/>
        <v>001</v>
      </c>
      <c r="G328" s="14" t="str">
        <f t="shared" si="38"/>
        <v>001</v>
      </c>
      <c r="H328" s="9" t="str">
        <f>IF(OR(G328=G327,BITWISE_XOR(G327,G328)=VALUE("111")),"",LEFT(G328,2))</f>
        <v/>
      </c>
      <c r="I328" s="9" t="str">
        <f>IF(OR(G328=G327,BITWISE_XOR(G327,G328)=VALUE("111")),"",RIGHT(G328,1))</f>
        <v/>
      </c>
      <c r="J328" s="9" t="b">
        <f>BITWISE_XOR(BIN2DEC(G327),7)=BIN2DEC(G328)</f>
        <v>0</v>
      </c>
      <c r="K328" s="9">
        <f t="shared" si="39"/>
        <v>2</v>
      </c>
      <c r="L328" s="9" t="str">
        <f t="shared" si="40"/>
        <v>0010</v>
      </c>
      <c r="M328" s="15" t="str">
        <f t="shared" si="41"/>
        <v/>
      </c>
      <c r="N328" t="str">
        <f t="shared" si="37"/>
        <v/>
      </c>
    </row>
    <row r="329" spans="4:14" x14ac:dyDescent="0.25">
      <c r="D329">
        <v>7</v>
      </c>
      <c r="E329" t="str">
        <f t="shared" si="42"/>
        <v>111</v>
      </c>
      <c r="G329" s="14" t="str">
        <f t="shared" si="38"/>
        <v>111</v>
      </c>
      <c r="H329" s="9" t="str">
        <f>IF(OR(G329=G328,BITWISE_XOR(G328,G329)=VALUE("111")),"",LEFT(G329,2))</f>
        <v>11</v>
      </c>
      <c r="I329" s="9" t="str">
        <f>IF(OR(G329=G328,BITWISE_XOR(G328,G329)=VALUE("111")),"",RIGHT(G329,1))</f>
        <v>1</v>
      </c>
      <c r="J329" s="9" t="b">
        <f>BITWISE_XOR(BIN2DEC(G328),7)=BIN2DEC(G329)</f>
        <v>0</v>
      </c>
      <c r="K329" s="9">
        <f t="shared" si="39"/>
        <v>3</v>
      </c>
      <c r="L329" s="9" t="str">
        <f t="shared" si="40"/>
        <v>110010</v>
      </c>
      <c r="M329" s="15" t="str">
        <f t="shared" si="41"/>
        <v/>
      </c>
      <c r="N329" t="str">
        <f t="shared" si="37"/>
        <v/>
      </c>
    </row>
    <row r="330" spans="4:14" x14ac:dyDescent="0.25">
      <c r="D330">
        <v>7</v>
      </c>
      <c r="E330" t="str">
        <f t="shared" si="42"/>
        <v>111</v>
      </c>
      <c r="G330" s="14" t="str">
        <f t="shared" si="38"/>
        <v>111</v>
      </c>
      <c r="H330" s="9" t="str">
        <f>IF(OR(G330=G329,BITWISE_XOR(G329,G330)=VALUE("111")),"",LEFT(G330,2))</f>
        <v/>
      </c>
      <c r="I330" s="9" t="str">
        <f>IF(OR(G330=G329,BITWISE_XOR(G329,G330)=VALUE("111")),"",RIGHT(G330,1))</f>
        <v/>
      </c>
      <c r="J330" s="9" t="b">
        <f>BITWISE_XOR(BIN2DEC(G329),7)=BIN2DEC(G330)</f>
        <v>0</v>
      </c>
      <c r="K330" s="9">
        <f t="shared" si="39"/>
        <v>3</v>
      </c>
      <c r="L330" s="9" t="str">
        <f t="shared" si="40"/>
        <v>110010</v>
      </c>
      <c r="M330" s="15" t="str">
        <f t="shared" si="41"/>
        <v/>
      </c>
      <c r="N330" t="str">
        <f t="shared" si="37"/>
        <v/>
      </c>
    </row>
    <row r="331" spans="4:14" x14ac:dyDescent="0.25">
      <c r="D331">
        <v>7</v>
      </c>
      <c r="E331" t="str">
        <f t="shared" si="42"/>
        <v>111</v>
      </c>
      <c r="G331" s="14" t="str">
        <f t="shared" si="38"/>
        <v>111</v>
      </c>
      <c r="H331" s="9" t="str">
        <f>IF(OR(G331=G330,BITWISE_XOR(G330,G331)=VALUE("111")),"",LEFT(G331,2))</f>
        <v/>
      </c>
      <c r="I331" s="9" t="str">
        <f>IF(OR(G331=G330,BITWISE_XOR(G330,G331)=VALUE("111")),"",RIGHT(G331,1))</f>
        <v/>
      </c>
      <c r="J331" s="9" t="b">
        <f>BITWISE_XOR(BIN2DEC(G330),7)=BIN2DEC(G331)</f>
        <v>0</v>
      </c>
      <c r="K331" s="9">
        <f t="shared" si="39"/>
        <v>3</v>
      </c>
      <c r="L331" s="9" t="str">
        <f t="shared" si="40"/>
        <v>110010</v>
      </c>
      <c r="M331" s="15" t="str">
        <f t="shared" si="41"/>
        <v/>
      </c>
      <c r="N331" t="str">
        <f t="shared" si="37"/>
        <v/>
      </c>
    </row>
    <row r="332" spans="4:14" x14ac:dyDescent="0.25">
      <c r="D332">
        <v>7</v>
      </c>
      <c r="E332" t="str">
        <f t="shared" si="42"/>
        <v>111</v>
      </c>
      <c r="G332" s="14" t="str">
        <f t="shared" si="38"/>
        <v>111</v>
      </c>
      <c r="H332" s="9" t="str">
        <f>IF(OR(G332=G331,BITWISE_XOR(G331,G332)=VALUE("111")),"",LEFT(G332,2))</f>
        <v/>
      </c>
      <c r="I332" s="9" t="str">
        <f>IF(OR(G332=G331,BITWISE_XOR(G331,G332)=VALUE("111")),"",RIGHT(G332,1))</f>
        <v/>
      </c>
      <c r="J332" s="9" t="b">
        <f>BITWISE_XOR(BIN2DEC(G331),7)=BIN2DEC(G332)</f>
        <v>0</v>
      </c>
      <c r="K332" s="9">
        <f t="shared" si="39"/>
        <v>3</v>
      </c>
      <c r="L332" s="9" t="str">
        <f t="shared" si="40"/>
        <v>110010</v>
      </c>
      <c r="M332" s="15" t="str">
        <f t="shared" si="41"/>
        <v/>
      </c>
      <c r="N332" t="str">
        <f t="shared" si="37"/>
        <v/>
      </c>
    </row>
    <row r="333" spans="4:14" x14ac:dyDescent="0.25">
      <c r="D333">
        <v>7</v>
      </c>
      <c r="E333" t="str">
        <f t="shared" si="42"/>
        <v>111</v>
      </c>
      <c r="G333" s="14" t="str">
        <f t="shared" si="38"/>
        <v>111</v>
      </c>
      <c r="H333" s="9" t="str">
        <f>IF(OR(G333=G332,BITWISE_XOR(G332,G333)=VALUE("111")),"",LEFT(G333,2))</f>
        <v/>
      </c>
      <c r="I333" s="9" t="str">
        <f>IF(OR(G333=G332,BITWISE_XOR(G332,G333)=VALUE("111")),"",RIGHT(G333,1))</f>
        <v/>
      </c>
      <c r="J333" s="9" t="b">
        <f>BITWISE_XOR(BIN2DEC(G332),7)=BIN2DEC(G333)</f>
        <v>0</v>
      </c>
      <c r="K333" s="9">
        <f t="shared" si="39"/>
        <v>3</v>
      </c>
      <c r="L333" s="9" t="str">
        <f t="shared" si="40"/>
        <v>110010</v>
      </c>
      <c r="M333" s="15" t="str">
        <f t="shared" si="41"/>
        <v/>
      </c>
      <c r="N333" t="str">
        <f t="shared" si="37"/>
        <v/>
      </c>
    </row>
    <row r="334" spans="4:14" x14ac:dyDescent="0.25">
      <c r="D334">
        <v>7</v>
      </c>
      <c r="E334" t="str">
        <f t="shared" si="42"/>
        <v>111</v>
      </c>
      <c r="G334" s="14" t="str">
        <f t="shared" si="38"/>
        <v>111</v>
      </c>
      <c r="H334" s="9" t="str">
        <f>IF(OR(G334=G333,BITWISE_XOR(G333,G334)=VALUE("111")),"",LEFT(G334,2))</f>
        <v/>
      </c>
      <c r="I334" s="9" t="str">
        <f>IF(OR(G334=G333,BITWISE_XOR(G333,G334)=VALUE("111")),"",RIGHT(G334,1))</f>
        <v/>
      </c>
      <c r="J334" s="9" t="b">
        <f>BITWISE_XOR(BIN2DEC(G333),7)=BIN2DEC(G334)</f>
        <v>0</v>
      </c>
      <c r="K334" s="9">
        <f t="shared" si="39"/>
        <v>3</v>
      </c>
      <c r="L334" s="9" t="str">
        <f t="shared" si="40"/>
        <v>110010</v>
      </c>
      <c r="M334" s="15" t="str">
        <f t="shared" si="41"/>
        <v/>
      </c>
      <c r="N334" t="str">
        <f t="shared" si="37"/>
        <v/>
      </c>
    </row>
    <row r="335" spans="4:14" x14ac:dyDescent="0.25">
      <c r="D335">
        <v>7</v>
      </c>
      <c r="E335" t="str">
        <f t="shared" si="42"/>
        <v>111</v>
      </c>
      <c r="G335" s="14" t="str">
        <f t="shared" si="38"/>
        <v>111</v>
      </c>
      <c r="H335" s="9" t="str">
        <f>IF(OR(G335=G334,BITWISE_XOR(G334,G335)=VALUE("111")),"",LEFT(G335,2))</f>
        <v/>
      </c>
      <c r="I335" s="9" t="str">
        <f>IF(OR(G335=G334,BITWISE_XOR(G334,G335)=VALUE("111")),"",RIGHT(G335,1))</f>
        <v/>
      </c>
      <c r="J335" s="9" t="b">
        <f>BITWISE_XOR(BIN2DEC(G334),7)=BIN2DEC(G335)</f>
        <v>0</v>
      </c>
      <c r="K335" s="9">
        <f t="shared" si="39"/>
        <v>3</v>
      </c>
      <c r="L335" s="9" t="str">
        <f t="shared" si="40"/>
        <v>110010</v>
      </c>
      <c r="M335" s="15" t="str">
        <f t="shared" si="41"/>
        <v/>
      </c>
      <c r="N335" t="str">
        <f t="shared" si="37"/>
        <v/>
      </c>
    </row>
    <row r="336" spans="4:14" x14ac:dyDescent="0.25">
      <c r="D336">
        <v>3</v>
      </c>
      <c r="E336" t="str">
        <f t="shared" si="42"/>
        <v>011</v>
      </c>
      <c r="G336" s="14" t="str">
        <f t="shared" si="38"/>
        <v>011</v>
      </c>
      <c r="H336" s="9" t="str">
        <f>IF(OR(G336=G335,BITWISE_XOR(G335,G336)=VALUE("111")),"",LEFT(G336,2))</f>
        <v>01</v>
      </c>
      <c r="I336" s="9" t="str">
        <f>IF(OR(G336=G335,BITWISE_XOR(G335,G336)=VALUE("111")),"",RIGHT(G336,1))</f>
        <v>1</v>
      </c>
      <c r="J336" s="9" t="b">
        <f>BITWISE_XOR(BIN2DEC(G335),7)=BIN2DEC(G336)</f>
        <v>0</v>
      </c>
      <c r="K336" s="9">
        <f t="shared" si="39"/>
        <v>0</v>
      </c>
      <c r="L336" s="9" t="str">
        <f t="shared" si="40"/>
        <v>01110010</v>
      </c>
      <c r="M336" s="15">
        <f t="shared" si="41"/>
        <v>114</v>
      </c>
      <c r="N336" t="str">
        <f t="shared" si="37"/>
        <v>r</v>
      </c>
    </row>
    <row r="337" spans="4:14" x14ac:dyDescent="0.25">
      <c r="D337">
        <v>3</v>
      </c>
      <c r="E337" t="str">
        <f t="shared" si="42"/>
        <v>011</v>
      </c>
      <c r="G337" s="14" t="str">
        <f t="shared" si="38"/>
        <v>011</v>
      </c>
      <c r="H337" s="9" t="str">
        <f>IF(OR(G337=G336,BITWISE_XOR(G336,G337)=VALUE("111")),"",LEFT(G337,2))</f>
        <v/>
      </c>
      <c r="I337" s="9" t="str">
        <f>IF(OR(G337=G336,BITWISE_XOR(G336,G337)=VALUE("111")),"",RIGHT(G337,1))</f>
        <v/>
      </c>
      <c r="J337" s="9" t="b">
        <f>BITWISE_XOR(BIN2DEC(G336),7)=BIN2DEC(G337)</f>
        <v>0</v>
      </c>
      <c r="K337" s="9">
        <f t="shared" si="39"/>
        <v>0</v>
      </c>
      <c r="L337" s="9" t="str">
        <f t="shared" si="40"/>
        <v/>
      </c>
      <c r="M337" s="15" t="str">
        <f t="shared" si="41"/>
        <v/>
      </c>
      <c r="N337" t="str">
        <f t="shared" si="37"/>
        <v/>
      </c>
    </row>
    <row r="338" spans="4:14" x14ac:dyDescent="0.25">
      <c r="D338">
        <v>3</v>
      </c>
      <c r="E338" t="str">
        <f t="shared" si="42"/>
        <v>011</v>
      </c>
      <c r="G338" s="14" t="str">
        <f t="shared" si="38"/>
        <v>011</v>
      </c>
      <c r="H338" s="9" t="str">
        <f>IF(OR(G338=G337,BITWISE_XOR(G337,G338)=VALUE("111")),"",LEFT(G338,2))</f>
        <v/>
      </c>
      <c r="I338" s="9" t="str">
        <f>IF(OR(G338=G337,BITWISE_XOR(G337,G338)=VALUE("111")),"",RIGHT(G338,1))</f>
        <v/>
      </c>
      <c r="J338" s="9" t="b">
        <f>BITWISE_XOR(BIN2DEC(G337),7)=BIN2DEC(G338)</f>
        <v>0</v>
      </c>
      <c r="K338" s="9">
        <f t="shared" si="39"/>
        <v>0</v>
      </c>
      <c r="L338" s="9" t="str">
        <f t="shared" si="40"/>
        <v/>
      </c>
      <c r="M338" s="15" t="str">
        <f t="shared" si="41"/>
        <v/>
      </c>
      <c r="N338" t="str">
        <f t="shared" si="37"/>
        <v/>
      </c>
    </row>
    <row r="339" spans="4:14" x14ac:dyDescent="0.25">
      <c r="D339">
        <v>3</v>
      </c>
      <c r="E339" t="str">
        <f t="shared" si="42"/>
        <v>011</v>
      </c>
      <c r="G339" s="14" t="str">
        <f t="shared" si="38"/>
        <v>011</v>
      </c>
      <c r="H339" s="9" t="str">
        <f>IF(OR(G339=G338,BITWISE_XOR(G338,G339)=VALUE("111")),"",LEFT(G339,2))</f>
        <v/>
      </c>
      <c r="I339" s="9" t="str">
        <f>IF(OR(G339=G338,BITWISE_XOR(G338,G339)=VALUE("111")),"",RIGHT(G339,1))</f>
        <v/>
      </c>
      <c r="J339" s="9" t="b">
        <f>BITWISE_XOR(BIN2DEC(G338),7)=BIN2DEC(G339)</f>
        <v>0</v>
      </c>
      <c r="K339" s="9">
        <f t="shared" si="39"/>
        <v>0</v>
      </c>
      <c r="L339" s="9" t="str">
        <f t="shared" si="40"/>
        <v/>
      </c>
      <c r="M339" s="15" t="str">
        <f t="shared" si="41"/>
        <v/>
      </c>
      <c r="N339" t="str">
        <f t="shared" si="37"/>
        <v/>
      </c>
    </row>
    <row r="340" spans="4:14" x14ac:dyDescent="0.25">
      <c r="D340">
        <v>3</v>
      </c>
      <c r="E340" t="str">
        <f t="shared" si="42"/>
        <v>011</v>
      </c>
      <c r="G340" s="14" t="str">
        <f t="shared" si="38"/>
        <v>011</v>
      </c>
      <c r="H340" s="9" t="str">
        <f>IF(OR(G340=G339,BITWISE_XOR(G339,G340)=VALUE("111")),"",LEFT(G340,2))</f>
        <v/>
      </c>
      <c r="I340" s="9" t="str">
        <f>IF(OR(G340=G339,BITWISE_XOR(G339,G340)=VALUE("111")),"",RIGHT(G340,1))</f>
        <v/>
      </c>
      <c r="J340" s="9" t="b">
        <f>BITWISE_XOR(BIN2DEC(G339),7)=BIN2DEC(G340)</f>
        <v>0</v>
      </c>
      <c r="K340" s="9">
        <f t="shared" si="39"/>
        <v>0</v>
      </c>
      <c r="L340" s="9" t="str">
        <f t="shared" si="40"/>
        <v/>
      </c>
      <c r="M340" s="15" t="str">
        <f t="shared" si="41"/>
        <v/>
      </c>
      <c r="N340" t="str">
        <f t="shared" si="37"/>
        <v/>
      </c>
    </row>
    <row r="341" spans="4:14" x14ac:dyDescent="0.25">
      <c r="D341">
        <v>3</v>
      </c>
      <c r="E341" t="str">
        <f t="shared" si="42"/>
        <v>011</v>
      </c>
      <c r="G341" s="14" t="str">
        <f t="shared" si="38"/>
        <v>011</v>
      </c>
      <c r="H341" s="9" t="str">
        <f>IF(OR(G341=G340,BITWISE_XOR(G340,G341)=VALUE("111")),"",LEFT(G341,2))</f>
        <v/>
      </c>
      <c r="I341" s="9" t="str">
        <f>IF(OR(G341=G340,BITWISE_XOR(G340,G341)=VALUE("111")),"",RIGHT(G341,1))</f>
        <v/>
      </c>
      <c r="J341" s="9" t="b">
        <f>BITWISE_XOR(BIN2DEC(G340),7)=BIN2DEC(G341)</f>
        <v>0</v>
      </c>
      <c r="K341" s="9">
        <f t="shared" si="39"/>
        <v>0</v>
      </c>
      <c r="L341" s="9" t="str">
        <f t="shared" si="40"/>
        <v/>
      </c>
      <c r="M341" s="15" t="str">
        <f t="shared" si="41"/>
        <v/>
      </c>
      <c r="N341" t="str">
        <f t="shared" si="37"/>
        <v/>
      </c>
    </row>
    <row r="342" spans="4:14" x14ac:dyDescent="0.25">
      <c r="D342">
        <v>3</v>
      </c>
      <c r="E342" t="str">
        <f t="shared" si="42"/>
        <v>011</v>
      </c>
      <c r="G342" s="14" t="str">
        <f t="shared" si="38"/>
        <v>011</v>
      </c>
      <c r="H342" s="9" t="str">
        <f>IF(OR(G342=G341,BITWISE_XOR(G341,G342)=VALUE("111")),"",LEFT(G342,2))</f>
        <v/>
      </c>
      <c r="I342" s="9" t="str">
        <f>IF(OR(G342=G341,BITWISE_XOR(G341,G342)=VALUE("111")),"",RIGHT(G342,1))</f>
        <v/>
      </c>
      <c r="J342" s="9" t="b">
        <f>BITWISE_XOR(BIN2DEC(G341),7)=BIN2DEC(G342)</f>
        <v>0</v>
      </c>
      <c r="K342" s="9">
        <f t="shared" si="39"/>
        <v>0</v>
      </c>
      <c r="L342" s="9" t="str">
        <f t="shared" si="40"/>
        <v/>
      </c>
      <c r="M342" s="15" t="str">
        <f t="shared" si="41"/>
        <v/>
      </c>
      <c r="N342" t="str">
        <f t="shared" si="37"/>
        <v/>
      </c>
    </row>
    <row r="343" spans="4:14" x14ac:dyDescent="0.25">
      <c r="D343">
        <v>1</v>
      </c>
      <c r="E343" t="str">
        <f t="shared" si="42"/>
        <v>001</v>
      </c>
      <c r="G343" s="14" t="str">
        <f t="shared" si="38"/>
        <v>001</v>
      </c>
      <c r="H343" s="9" t="str">
        <f>IF(OR(G343=G342,BITWISE_XOR(G342,G343)=VALUE("111")),"",LEFT(G343,2))</f>
        <v>00</v>
      </c>
      <c r="I343" s="9" t="str">
        <f>IF(OR(G343=G342,BITWISE_XOR(G342,G343)=VALUE("111")),"",RIGHT(G343,1))</f>
        <v>1</v>
      </c>
      <c r="J343" s="9" t="b">
        <f>BITWISE_XOR(BIN2DEC(G342),7)=BIN2DEC(G343)</f>
        <v>0</v>
      </c>
      <c r="K343" s="9">
        <f t="shared" si="39"/>
        <v>1</v>
      </c>
      <c r="L343" s="9" t="str">
        <f t="shared" si="40"/>
        <v>00</v>
      </c>
      <c r="M343" s="15" t="str">
        <f t="shared" si="41"/>
        <v/>
      </c>
      <c r="N343" t="str">
        <f t="shared" si="37"/>
        <v/>
      </c>
    </row>
    <row r="344" spans="4:14" x14ac:dyDescent="0.25">
      <c r="D344">
        <v>1</v>
      </c>
      <c r="E344" t="str">
        <f t="shared" si="42"/>
        <v>001</v>
      </c>
      <c r="G344" s="14" t="str">
        <f t="shared" si="38"/>
        <v>001</v>
      </c>
      <c r="H344" s="9" t="str">
        <f>IF(OR(G344=G343,BITWISE_XOR(G343,G344)=VALUE("111")),"",LEFT(G344,2))</f>
        <v/>
      </c>
      <c r="I344" s="9" t="str">
        <f>IF(OR(G344=G343,BITWISE_XOR(G343,G344)=VALUE("111")),"",RIGHT(G344,1))</f>
        <v/>
      </c>
      <c r="J344" s="9" t="b">
        <f>BITWISE_XOR(BIN2DEC(G343),7)=BIN2DEC(G344)</f>
        <v>0</v>
      </c>
      <c r="K344" s="9">
        <f t="shared" si="39"/>
        <v>1</v>
      </c>
      <c r="L344" s="9" t="str">
        <f t="shared" si="40"/>
        <v>00</v>
      </c>
      <c r="M344" s="15" t="str">
        <f t="shared" si="41"/>
        <v/>
      </c>
      <c r="N344" t="str">
        <f t="shared" si="37"/>
        <v/>
      </c>
    </row>
    <row r="345" spans="4:14" x14ac:dyDescent="0.25">
      <c r="D345">
        <v>1</v>
      </c>
      <c r="E345" t="str">
        <f t="shared" si="42"/>
        <v>001</v>
      </c>
      <c r="G345" s="14" t="str">
        <f t="shared" si="38"/>
        <v>001</v>
      </c>
      <c r="H345" s="9" t="str">
        <f>IF(OR(G345=G344,BITWISE_XOR(G344,G345)=VALUE("111")),"",LEFT(G345,2))</f>
        <v/>
      </c>
      <c r="I345" s="9" t="str">
        <f>IF(OR(G345=G344,BITWISE_XOR(G344,G345)=VALUE("111")),"",RIGHT(G345,1))</f>
        <v/>
      </c>
      <c r="J345" s="9" t="b">
        <f>BITWISE_XOR(BIN2DEC(G344),7)=BIN2DEC(G345)</f>
        <v>0</v>
      </c>
      <c r="K345" s="9">
        <f t="shared" si="39"/>
        <v>1</v>
      </c>
      <c r="L345" s="9" t="str">
        <f t="shared" si="40"/>
        <v>00</v>
      </c>
      <c r="M345" s="15" t="str">
        <f t="shared" si="41"/>
        <v/>
      </c>
      <c r="N345" t="str">
        <f t="shared" si="37"/>
        <v/>
      </c>
    </row>
    <row r="346" spans="4:14" x14ac:dyDescent="0.25">
      <c r="D346">
        <v>1</v>
      </c>
      <c r="E346" t="str">
        <f t="shared" si="42"/>
        <v>001</v>
      </c>
      <c r="G346" s="14" t="str">
        <f t="shared" si="38"/>
        <v>001</v>
      </c>
      <c r="H346" s="9" t="str">
        <f>IF(OR(G346=G345,BITWISE_XOR(G345,G346)=VALUE("111")),"",LEFT(G346,2))</f>
        <v/>
      </c>
      <c r="I346" s="9" t="str">
        <f>IF(OR(G346=G345,BITWISE_XOR(G345,G346)=VALUE("111")),"",RIGHT(G346,1))</f>
        <v/>
      </c>
      <c r="J346" s="9" t="b">
        <f>BITWISE_XOR(BIN2DEC(G345),7)=BIN2DEC(G346)</f>
        <v>0</v>
      </c>
      <c r="K346" s="9">
        <f t="shared" si="39"/>
        <v>1</v>
      </c>
      <c r="L346" s="9" t="str">
        <f t="shared" si="40"/>
        <v>00</v>
      </c>
      <c r="M346" s="15" t="str">
        <f t="shared" si="41"/>
        <v/>
      </c>
      <c r="N346" t="str">
        <f t="shared" si="37"/>
        <v/>
      </c>
    </row>
    <row r="347" spans="4:14" x14ac:dyDescent="0.25">
      <c r="D347">
        <v>1</v>
      </c>
      <c r="E347" t="str">
        <f t="shared" si="42"/>
        <v>001</v>
      </c>
      <c r="G347" s="14" t="str">
        <f t="shared" si="38"/>
        <v>001</v>
      </c>
      <c r="H347" s="9" t="str">
        <f>IF(OR(G347=G346,BITWISE_XOR(G346,G347)=VALUE("111")),"",LEFT(G347,2))</f>
        <v/>
      </c>
      <c r="I347" s="9" t="str">
        <f>IF(OR(G347=G346,BITWISE_XOR(G346,G347)=VALUE("111")),"",RIGHT(G347,1))</f>
        <v/>
      </c>
      <c r="J347" s="9" t="b">
        <f>BITWISE_XOR(BIN2DEC(G346),7)=BIN2DEC(G347)</f>
        <v>0</v>
      </c>
      <c r="K347" s="9">
        <f t="shared" si="39"/>
        <v>1</v>
      </c>
      <c r="L347" s="9" t="str">
        <f t="shared" si="40"/>
        <v>00</v>
      </c>
      <c r="M347" s="15" t="str">
        <f t="shared" si="41"/>
        <v/>
      </c>
      <c r="N347" t="str">
        <f t="shared" si="37"/>
        <v/>
      </c>
    </row>
    <row r="348" spans="4:14" x14ac:dyDescent="0.25">
      <c r="D348">
        <v>1</v>
      </c>
      <c r="E348" t="str">
        <f t="shared" si="42"/>
        <v>001</v>
      </c>
      <c r="G348" s="14" t="str">
        <f t="shared" si="38"/>
        <v>001</v>
      </c>
      <c r="H348" s="9" t="str">
        <f>IF(OR(G348=G347,BITWISE_XOR(G347,G348)=VALUE("111")),"",LEFT(G348,2))</f>
        <v/>
      </c>
      <c r="I348" s="9" t="str">
        <f>IF(OR(G348=G347,BITWISE_XOR(G347,G348)=VALUE("111")),"",RIGHT(G348,1))</f>
        <v/>
      </c>
      <c r="J348" s="9" t="b">
        <f>BITWISE_XOR(BIN2DEC(G347),7)=BIN2DEC(G348)</f>
        <v>0</v>
      </c>
      <c r="K348" s="9">
        <f t="shared" si="39"/>
        <v>1</v>
      </c>
      <c r="L348" s="9" t="str">
        <f t="shared" si="40"/>
        <v>00</v>
      </c>
      <c r="M348" s="15" t="str">
        <f t="shared" si="41"/>
        <v/>
      </c>
      <c r="N348" t="str">
        <f t="shared" si="37"/>
        <v/>
      </c>
    </row>
    <row r="349" spans="4:14" x14ac:dyDescent="0.25">
      <c r="D349">
        <v>1</v>
      </c>
      <c r="E349" t="str">
        <f t="shared" si="42"/>
        <v>001</v>
      </c>
      <c r="G349" s="14" t="str">
        <f t="shared" si="38"/>
        <v>001</v>
      </c>
      <c r="H349" s="9" t="str">
        <f>IF(OR(G349=G348,BITWISE_XOR(G348,G349)=VALUE("111")),"",LEFT(G349,2))</f>
        <v/>
      </c>
      <c r="I349" s="9" t="str">
        <f>IF(OR(G349=G348,BITWISE_XOR(G348,G349)=VALUE("111")),"",RIGHT(G349,1))</f>
        <v/>
      </c>
      <c r="J349" s="9" t="b">
        <f>BITWISE_XOR(BIN2DEC(G348),7)=BIN2DEC(G349)</f>
        <v>0</v>
      </c>
      <c r="K349" s="9">
        <f t="shared" si="39"/>
        <v>1</v>
      </c>
      <c r="L349" s="9" t="str">
        <f t="shared" si="40"/>
        <v>00</v>
      </c>
      <c r="M349" s="15" t="str">
        <f t="shared" si="41"/>
        <v/>
      </c>
      <c r="N349" t="str">
        <f t="shared" si="37"/>
        <v/>
      </c>
    </row>
    <row r="350" spans="4:14" x14ac:dyDescent="0.25">
      <c r="D350">
        <v>7</v>
      </c>
      <c r="E350" t="str">
        <f t="shared" si="42"/>
        <v>111</v>
      </c>
      <c r="G350" s="14" t="str">
        <f t="shared" si="38"/>
        <v>111</v>
      </c>
      <c r="H350" s="9" t="str">
        <f>IF(OR(G350=G349,BITWISE_XOR(G349,G350)=VALUE("111")),"",LEFT(G350,2))</f>
        <v>11</v>
      </c>
      <c r="I350" s="9" t="str">
        <f>IF(OR(G350=G349,BITWISE_XOR(G349,G350)=VALUE("111")),"",RIGHT(G350,1))</f>
        <v>1</v>
      </c>
      <c r="J350" s="9" t="b">
        <f>BITWISE_XOR(BIN2DEC(G349),7)=BIN2DEC(G350)</f>
        <v>0</v>
      </c>
      <c r="K350" s="9">
        <f t="shared" si="39"/>
        <v>2</v>
      </c>
      <c r="L350" s="9" t="str">
        <f t="shared" si="40"/>
        <v>1100</v>
      </c>
      <c r="M350" s="15" t="str">
        <f t="shared" si="41"/>
        <v/>
      </c>
      <c r="N350" t="str">
        <f t="shared" si="37"/>
        <v/>
      </c>
    </row>
    <row r="351" spans="4:14" x14ac:dyDescent="0.25">
      <c r="D351">
        <v>7</v>
      </c>
      <c r="E351" t="str">
        <f t="shared" si="42"/>
        <v>111</v>
      </c>
      <c r="G351" s="14" t="str">
        <f t="shared" si="38"/>
        <v>111</v>
      </c>
      <c r="H351" s="9" t="str">
        <f>IF(OR(G351=G350,BITWISE_XOR(G350,G351)=VALUE("111")),"",LEFT(G351,2))</f>
        <v/>
      </c>
      <c r="I351" s="9" t="str">
        <f>IF(OR(G351=G350,BITWISE_XOR(G350,G351)=VALUE("111")),"",RIGHT(G351,1))</f>
        <v/>
      </c>
      <c r="J351" s="9" t="b">
        <f>BITWISE_XOR(BIN2DEC(G350),7)=BIN2DEC(G351)</f>
        <v>0</v>
      </c>
      <c r="K351" s="9">
        <f t="shared" si="39"/>
        <v>2</v>
      </c>
      <c r="L351" s="9" t="str">
        <f t="shared" si="40"/>
        <v>1100</v>
      </c>
      <c r="M351" s="15" t="str">
        <f t="shared" si="41"/>
        <v/>
      </c>
      <c r="N351" t="str">
        <f t="shared" si="37"/>
        <v/>
      </c>
    </row>
    <row r="352" spans="4:14" x14ac:dyDescent="0.25">
      <c r="D352">
        <v>7</v>
      </c>
      <c r="E352" t="str">
        <f t="shared" si="42"/>
        <v>111</v>
      </c>
      <c r="G352" s="14" t="str">
        <f t="shared" si="38"/>
        <v>111</v>
      </c>
      <c r="H352" s="9" t="str">
        <f>IF(OR(G352=G351,BITWISE_XOR(G351,G352)=VALUE("111")),"",LEFT(G352,2))</f>
        <v/>
      </c>
      <c r="I352" s="9" t="str">
        <f>IF(OR(G352=G351,BITWISE_XOR(G351,G352)=VALUE("111")),"",RIGHT(G352,1))</f>
        <v/>
      </c>
      <c r="J352" s="9" t="b">
        <f>BITWISE_XOR(BIN2DEC(G351),7)=BIN2DEC(G352)</f>
        <v>0</v>
      </c>
      <c r="K352" s="9">
        <f t="shared" si="39"/>
        <v>2</v>
      </c>
      <c r="L352" s="9" t="str">
        <f t="shared" si="40"/>
        <v>1100</v>
      </c>
      <c r="M352" s="15" t="str">
        <f t="shared" si="41"/>
        <v/>
      </c>
      <c r="N352" t="str">
        <f t="shared" ref="N352:N405" si="43">IF(M352&lt;&gt;"",CHAR(M352),"")</f>
        <v/>
      </c>
    </row>
    <row r="353" spans="4:14" x14ac:dyDescent="0.25">
      <c r="D353">
        <v>7</v>
      </c>
      <c r="E353" t="str">
        <f t="shared" si="42"/>
        <v>111</v>
      </c>
      <c r="G353" s="14" t="str">
        <f t="shared" si="38"/>
        <v>111</v>
      </c>
      <c r="H353" s="9" t="str">
        <f>IF(OR(G353=G352,BITWISE_XOR(G352,G353)=VALUE("111")),"",LEFT(G353,2))</f>
        <v/>
      </c>
      <c r="I353" s="9" t="str">
        <f>IF(OR(G353=G352,BITWISE_XOR(G352,G353)=VALUE("111")),"",RIGHT(G353,1))</f>
        <v/>
      </c>
      <c r="J353" s="9" t="b">
        <f>BITWISE_XOR(BIN2DEC(G352),7)=BIN2DEC(G353)</f>
        <v>0</v>
      </c>
      <c r="K353" s="9">
        <f t="shared" si="39"/>
        <v>2</v>
      </c>
      <c r="L353" s="9" t="str">
        <f t="shared" si="40"/>
        <v>1100</v>
      </c>
      <c r="M353" s="15" t="str">
        <f t="shared" si="41"/>
        <v/>
      </c>
      <c r="N353" t="str">
        <f t="shared" si="43"/>
        <v/>
      </c>
    </row>
    <row r="354" spans="4:14" x14ac:dyDescent="0.25">
      <c r="D354">
        <v>7</v>
      </c>
      <c r="E354" t="str">
        <f t="shared" si="42"/>
        <v>111</v>
      </c>
      <c r="G354" s="14" t="str">
        <f t="shared" si="38"/>
        <v>111</v>
      </c>
      <c r="H354" s="9" t="str">
        <f>IF(OR(G354=G353,BITWISE_XOR(G353,G354)=VALUE("111")),"",LEFT(G354,2))</f>
        <v/>
      </c>
      <c r="I354" s="9" t="str">
        <f>IF(OR(G354=G353,BITWISE_XOR(G353,G354)=VALUE("111")),"",RIGHT(G354,1))</f>
        <v/>
      </c>
      <c r="J354" s="9" t="b">
        <f>BITWISE_XOR(BIN2DEC(G353),7)=BIN2DEC(G354)</f>
        <v>0</v>
      </c>
      <c r="K354" s="9">
        <f t="shared" si="39"/>
        <v>2</v>
      </c>
      <c r="L354" s="9" t="str">
        <f t="shared" si="40"/>
        <v>1100</v>
      </c>
      <c r="M354" s="15" t="str">
        <f t="shared" si="41"/>
        <v/>
      </c>
      <c r="N354" t="str">
        <f t="shared" si="43"/>
        <v/>
      </c>
    </row>
    <row r="355" spans="4:14" x14ac:dyDescent="0.25">
      <c r="D355">
        <v>7</v>
      </c>
      <c r="E355" t="str">
        <f t="shared" si="42"/>
        <v>111</v>
      </c>
      <c r="G355" s="14" t="str">
        <f t="shared" si="38"/>
        <v>111</v>
      </c>
      <c r="H355" s="9" t="str">
        <f>IF(OR(G355=G354,BITWISE_XOR(G354,G355)=VALUE("111")),"",LEFT(G355,2))</f>
        <v/>
      </c>
      <c r="I355" s="9" t="str">
        <f>IF(OR(G355=G354,BITWISE_XOR(G354,G355)=VALUE("111")),"",RIGHT(G355,1))</f>
        <v/>
      </c>
      <c r="J355" s="9" t="b">
        <f>BITWISE_XOR(BIN2DEC(G354),7)=BIN2DEC(G355)</f>
        <v>0</v>
      </c>
      <c r="K355" s="9">
        <f t="shared" si="39"/>
        <v>2</v>
      </c>
      <c r="L355" s="9" t="str">
        <f t="shared" si="40"/>
        <v>1100</v>
      </c>
      <c r="M355" s="15" t="str">
        <f t="shared" si="41"/>
        <v/>
      </c>
      <c r="N355" t="str">
        <f t="shared" si="43"/>
        <v/>
      </c>
    </row>
    <row r="356" spans="4:14" x14ac:dyDescent="0.25">
      <c r="D356">
        <v>7</v>
      </c>
      <c r="E356" t="str">
        <f t="shared" si="42"/>
        <v>111</v>
      </c>
      <c r="G356" s="14" t="str">
        <f t="shared" si="38"/>
        <v>111</v>
      </c>
      <c r="H356" s="9" t="str">
        <f>IF(OR(G356=G355,BITWISE_XOR(G355,G356)=VALUE("111")),"",LEFT(G356,2))</f>
        <v/>
      </c>
      <c r="I356" s="9" t="str">
        <f>IF(OR(G356=G355,BITWISE_XOR(G355,G356)=VALUE("111")),"",RIGHT(G356,1))</f>
        <v/>
      </c>
      <c r="J356" s="9" t="b">
        <f>BITWISE_XOR(BIN2DEC(G355),7)=BIN2DEC(G356)</f>
        <v>0</v>
      </c>
      <c r="K356" s="9">
        <f t="shared" si="39"/>
        <v>2</v>
      </c>
      <c r="L356" s="9" t="str">
        <f t="shared" si="40"/>
        <v>1100</v>
      </c>
      <c r="M356" s="15" t="str">
        <f t="shared" si="41"/>
        <v/>
      </c>
      <c r="N356" t="str">
        <f t="shared" si="43"/>
        <v/>
      </c>
    </row>
    <row r="357" spans="4:14" x14ac:dyDescent="0.25">
      <c r="D357">
        <v>5</v>
      </c>
      <c r="E357" t="str">
        <f t="shared" si="42"/>
        <v>101</v>
      </c>
      <c r="G357" s="14" t="str">
        <f t="shared" si="38"/>
        <v>101</v>
      </c>
      <c r="H357" s="9" t="str">
        <f>IF(OR(G357=G356,BITWISE_XOR(G356,G357)=VALUE("111")),"",LEFT(G357,2))</f>
        <v>10</v>
      </c>
      <c r="I357" s="9" t="str">
        <f>IF(OR(G357=G356,BITWISE_XOR(G356,G357)=VALUE("111")),"",RIGHT(G357,1))</f>
        <v>1</v>
      </c>
      <c r="J357" s="9" t="b">
        <f>BITWISE_XOR(BIN2DEC(G356),7)=BIN2DEC(G357)</f>
        <v>0</v>
      </c>
      <c r="K357" s="9">
        <f t="shared" si="39"/>
        <v>3</v>
      </c>
      <c r="L357" s="9" t="str">
        <f t="shared" si="40"/>
        <v>101100</v>
      </c>
      <c r="M357" s="15" t="str">
        <f t="shared" si="41"/>
        <v/>
      </c>
      <c r="N357" t="str">
        <f t="shared" si="43"/>
        <v/>
      </c>
    </row>
    <row r="358" spans="4:14" x14ac:dyDescent="0.25">
      <c r="D358">
        <v>5</v>
      </c>
      <c r="E358" t="str">
        <f t="shared" si="42"/>
        <v>101</v>
      </c>
      <c r="G358" s="14" t="str">
        <f t="shared" si="38"/>
        <v>101</v>
      </c>
      <c r="H358" s="9" t="str">
        <f>IF(OR(G358=G357,BITWISE_XOR(G357,G358)=VALUE("111")),"",LEFT(G358,2))</f>
        <v/>
      </c>
      <c r="I358" s="9" t="str">
        <f>IF(OR(G358=G357,BITWISE_XOR(G357,G358)=VALUE("111")),"",RIGHT(G358,1))</f>
        <v/>
      </c>
      <c r="J358" s="9" t="b">
        <f>BITWISE_XOR(BIN2DEC(G357),7)=BIN2DEC(G358)</f>
        <v>0</v>
      </c>
      <c r="K358" s="9">
        <f t="shared" si="39"/>
        <v>3</v>
      </c>
      <c r="L358" s="9" t="str">
        <f t="shared" si="40"/>
        <v>101100</v>
      </c>
      <c r="M358" s="15" t="str">
        <f t="shared" si="41"/>
        <v/>
      </c>
      <c r="N358" t="str">
        <f t="shared" si="43"/>
        <v/>
      </c>
    </row>
    <row r="359" spans="4:14" x14ac:dyDescent="0.25">
      <c r="D359">
        <v>5</v>
      </c>
      <c r="E359" t="str">
        <f t="shared" si="42"/>
        <v>101</v>
      </c>
      <c r="G359" s="14" t="str">
        <f t="shared" si="38"/>
        <v>101</v>
      </c>
      <c r="H359" s="9" t="str">
        <f>IF(OR(G359=G358,BITWISE_XOR(G358,G359)=VALUE("111")),"",LEFT(G359,2))</f>
        <v/>
      </c>
      <c r="I359" s="9" t="str">
        <f>IF(OR(G359=G358,BITWISE_XOR(G358,G359)=VALUE("111")),"",RIGHT(G359,1))</f>
        <v/>
      </c>
      <c r="J359" s="9" t="b">
        <f>BITWISE_XOR(BIN2DEC(G358),7)=BIN2DEC(G359)</f>
        <v>0</v>
      </c>
      <c r="K359" s="9">
        <f t="shared" si="39"/>
        <v>3</v>
      </c>
      <c r="L359" s="9" t="str">
        <f t="shared" si="40"/>
        <v>101100</v>
      </c>
      <c r="M359" s="15" t="str">
        <f t="shared" si="41"/>
        <v/>
      </c>
      <c r="N359" t="str">
        <f t="shared" si="43"/>
        <v/>
      </c>
    </row>
    <row r="360" spans="4:14" x14ac:dyDescent="0.25">
      <c r="D360">
        <v>5</v>
      </c>
      <c r="E360" t="str">
        <f t="shared" si="42"/>
        <v>101</v>
      </c>
      <c r="G360" s="14" t="str">
        <f t="shared" ref="G360:G405" si="44">E360</f>
        <v>101</v>
      </c>
      <c r="H360" s="9" t="str">
        <f>IF(OR(G360=G359,BITWISE_XOR(G359,G360)=VALUE("111")),"",LEFT(G360,2))</f>
        <v/>
      </c>
      <c r="I360" s="9" t="str">
        <f>IF(OR(G360=G359,BITWISE_XOR(G359,G360)=VALUE("111")),"",RIGHT(G360,1))</f>
        <v/>
      </c>
      <c r="J360" s="9" t="b">
        <f>BITWISE_XOR(BIN2DEC(G359),7)=BIN2DEC(G360)</f>
        <v>0</v>
      </c>
      <c r="K360" s="9">
        <f t="shared" ref="K360:K405" si="45">IF(J360=TRUE,0,(IF((H360=""),K359,MOD((K359+1),4))))</f>
        <v>3</v>
      </c>
      <c r="L360" s="9" t="str">
        <f t="shared" ref="L360:L405" si="46">IF(K360=K359,IF(K359=0,H360,L359),IF(K360=1,H360,CONCATENATE(H360,L359)))</f>
        <v>101100</v>
      </c>
      <c r="M360" s="15" t="str">
        <f t="shared" ref="M360:M405" si="47">IF(AND(K360=0,K359=3),BIN2DEC(L360),"")</f>
        <v/>
      </c>
      <c r="N360" t="str">
        <f t="shared" si="43"/>
        <v/>
      </c>
    </row>
    <row r="361" spans="4:14" x14ac:dyDescent="0.25">
      <c r="D361">
        <v>5</v>
      </c>
      <c r="E361" t="str">
        <f t="shared" si="42"/>
        <v>101</v>
      </c>
      <c r="G361" s="14" t="str">
        <f t="shared" si="44"/>
        <v>101</v>
      </c>
      <c r="H361" s="9" t="str">
        <f>IF(OR(G361=G360,BITWISE_XOR(G360,G361)=VALUE("111")),"",LEFT(G361,2))</f>
        <v/>
      </c>
      <c r="I361" s="9" t="str">
        <f>IF(OR(G361=G360,BITWISE_XOR(G360,G361)=VALUE("111")),"",RIGHT(G361,1))</f>
        <v/>
      </c>
      <c r="J361" s="9" t="b">
        <f>BITWISE_XOR(BIN2DEC(G360),7)=BIN2DEC(G361)</f>
        <v>0</v>
      </c>
      <c r="K361" s="9">
        <f t="shared" si="45"/>
        <v>3</v>
      </c>
      <c r="L361" s="9" t="str">
        <f t="shared" si="46"/>
        <v>101100</v>
      </c>
      <c r="M361" s="15" t="str">
        <f t="shared" si="47"/>
        <v/>
      </c>
      <c r="N361" t="str">
        <f t="shared" si="43"/>
        <v/>
      </c>
    </row>
    <row r="362" spans="4:14" x14ac:dyDescent="0.25">
      <c r="D362">
        <v>5</v>
      </c>
      <c r="E362" t="str">
        <f t="shared" si="42"/>
        <v>101</v>
      </c>
      <c r="G362" s="14" t="str">
        <f t="shared" si="44"/>
        <v>101</v>
      </c>
      <c r="H362" s="9" t="str">
        <f>IF(OR(G362=G361,BITWISE_XOR(G361,G362)=VALUE("111")),"",LEFT(G362,2))</f>
        <v/>
      </c>
      <c r="I362" s="9" t="str">
        <f>IF(OR(G362=G361,BITWISE_XOR(G361,G362)=VALUE("111")),"",RIGHT(G362,1))</f>
        <v/>
      </c>
      <c r="J362" s="9" t="b">
        <f>BITWISE_XOR(BIN2DEC(G361),7)=BIN2DEC(G362)</f>
        <v>0</v>
      </c>
      <c r="K362" s="9">
        <f t="shared" si="45"/>
        <v>3</v>
      </c>
      <c r="L362" s="9" t="str">
        <f t="shared" si="46"/>
        <v>101100</v>
      </c>
      <c r="M362" s="15" t="str">
        <f t="shared" si="47"/>
        <v/>
      </c>
      <c r="N362" t="str">
        <f t="shared" si="43"/>
        <v/>
      </c>
    </row>
    <row r="363" spans="4:14" x14ac:dyDescent="0.25">
      <c r="D363">
        <v>5</v>
      </c>
      <c r="E363" t="str">
        <f t="shared" si="42"/>
        <v>101</v>
      </c>
      <c r="G363" s="14" t="str">
        <f t="shared" si="44"/>
        <v>101</v>
      </c>
      <c r="H363" s="9" t="str">
        <f>IF(OR(G363=G362,BITWISE_XOR(G362,G363)=VALUE("111")),"",LEFT(G363,2))</f>
        <v/>
      </c>
      <c r="I363" s="9" t="str">
        <f>IF(OR(G363=G362,BITWISE_XOR(G362,G363)=VALUE("111")),"",RIGHT(G363,1))</f>
        <v/>
      </c>
      <c r="J363" s="9" t="b">
        <f>BITWISE_XOR(BIN2DEC(G362),7)=BIN2DEC(G363)</f>
        <v>0</v>
      </c>
      <c r="K363" s="9">
        <f t="shared" si="45"/>
        <v>3</v>
      </c>
      <c r="L363" s="9" t="str">
        <f t="shared" si="46"/>
        <v>101100</v>
      </c>
      <c r="M363" s="15" t="str">
        <f t="shared" si="47"/>
        <v/>
      </c>
      <c r="N363" t="str">
        <f t="shared" si="43"/>
        <v/>
      </c>
    </row>
    <row r="364" spans="4:14" x14ac:dyDescent="0.25">
      <c r="D364">
        <v>3</v>
      </c>
      <c r="E364" t="str">
        <f t="shared" si="42"/>
        <v>011</v>
      </c>
      <c r="G364" s="14" t="str">
        <f t="shared" si="44"/>
        <v>011</v>
      </c>
      <c r="H364" s="9" t="str">
        <f>IF(OR(G364=G363,BITWISE_XOR(G363,G364)=VALUE("111")),"",LEFT(G364,2))</f>
        <v>01</v>
      </c>
      <c r="I364" s="9" t="str">
        <f>IF(OR(G364=G363,BITWISE_XOR(G363,G364)=VALUE("111")),"",RIGHT(G364,1))</f>
        <v>1</v>
      </c>
      <c r="J364" s="9" t="b">
        <f>BITWISE_XOR(BIN2DEC(G363),7)=BIN2DEC(G364)</f>
        <v>0</v>
      </c>
      <c r="K364" s="9">
        <f t="shared" si="45"/>
        <v>0</v>
      </c>
      <c r="L364" s="9" t="str">
        <f t="shared" si="46"/>
        <v>01101100</v>
      </c>
      <c r="M364" s="15">
        <f t="shared" si="47"/>
        <v>108</v>
      </c>
      <c r="N364" t="str">
        <f t="shared" si="43"/>
        <v>l</v>
      </c>
    </row>
    <row r="365" spans="4:14" x14ac:dyDescent="0.25">
      <c r="D365">
        <v>3</v>
      </c>
      <c r="E365" t="str">
        <f t="shared" si="42"/>
        <v>011</v>
      </c>
      <c r="G365" s="14" t="str">
        <f t="shared" si="44"/>
        <v>011</v>
      </c>
      <c r="H365" s="9" t="str">
        <f>IF(OR(G365=G364,BITWISE_XOR(G364,G365)=VALUE("111")),"",LEFT(G365,2))</f>
        <v/>
      </c>
      <c r="I365" s="9" t="str">
        <f>IF(OR(G365=G364,BITWISE_XOR(G364,G365)=VALUE("111")),"",RIGHT(G365,1))</f>
        <v/>
      </c>
      <c r="J365" s="9" t="b">
        <f>BITWISE_XOR(BIN2DEC(G364),7)=BIN2DEC(G365)</f>
        <v>0</v>
      </c>
      <c r="K365" s="9">
        <f t="shared" si="45"/>
        <v>0</v>
      </c>
      <c r="L365" s="9" t="str">
        <f t="shared" si="46"/>
        <v/>
      </c>
      <c r="M365" s="15" t="str">
        <f t="shared" si="47"/>
        <v/>
      </c>
      <c r="N365" t="str">
        <f t="shared" si="43"/>
        <v/>
      </c>
    </row>
    <row r="366" spans="4:14" x14ac:dyDescent="0.25">
      <c r="D366">
        <v>3</v>
      </c>
      <c r="E366" t="str">
        <f t="shared" si="42"/>
        <v>011</v>
      </c>
      <c r="G366" s="14" t="str">
        <f t="shared" si="44"/>
        <v>011</v>
      </c>
      <c r="H366" s="9" t="str">
        <f>IF(OR(G366=G365,BITWISE_XOR(G365,G366)=VALUE("111")),"",LEFT(G366,2))</f>
        <v/>
      </c>
      <c r="I366" s="9" t="str">
        <f>IF(OR(G366=G365,BITWISE_XOR(G365,G366)=VALUE("111")),"",RIGHT(G366,1))</f>
        <v/>
      </c>
      <c r="J366" s="9" t="b">
        <f>BITWISE_XOR(BIN2DEC(G365),7)=BIN2DEC(G366)</f>
        <v>0</v>
      </c>
      <c r="K366" s="9">
        <f t="shared" si="45"/>
        <v>0</v>
      </c>
      <c r="L366" s="9" t="str">
        <f t="shared" si="46"/>
        <v/>
      </c>
      <c r="M366" s="15" t="str">
        <f t="shared" si="47"/>
        <v/>
      </c>
      <c r="N366" t="str">
        <f t="shared" si="43"/>
        <v/>
      </c>
    </row>
    <row r="367" spans="4:14" x14ac:dyDescent="0.25">
      <c r="D367">
        <v>3</v>
      </c>
      <c r="E367" t="str">
        <f t="shared" si="42"/>
        <v>011</v>
      </c>
      <c r="G367" s="14" t="str">
        <f t="shared" si="44"/>
        <v>011</v>
      </c>
      <c r="H367" s="9" t="str">
        <f>IF(OR(G367=G366,BITWISE_XOR(G366,G367)=VALUE("111")),"",LEFT(G367,2))</f>
        <v/>
      </c>
      <c r="I367" s="9" t="str">
        <f>IF(OR(G367=G366,BITWISE_XOR(G366,G367)=VALUE("111")),"",RIGHT(G367,1))</f>
        <v/>
      </c>
      <c r="J367" s="9" t="b">
        <f>BITWISE_XOR(BIN2DEC(G366),7)=BIN2DEC(G367)</f>
        <v>0</v>
      </c>
      <c r="K367" s="9">
        <f t="shared" si="45"/>
        <v>0</v>
      </c>
      <c r="L367" s="9" t="str">
        <f t="shared" si="46"/>
        <v/>
      </c>
      <c r="M367" s="15" t="str">
        <f t="shared" si="47"/>
        <v/>
      </c>
      <c r="N367" t="str">
        <f t="shared" si="43"/>
        <v/>
      </c>
    </row>
    <row r="368" spans="4:14" x14ac:dyDescent="0.25">
      <c r="D368">
        <v>3</v>
      </c>
      <c r="E368" t="str">
        <f t="shared" si="42"/>
        <v>011</v>
      </c>
      <c r="G368" s="14" t="str">
        <f t="shared" si="44"/>
        <v>011</v>
      </c>
      <c r="H368" s="9" t="str">
        <f>IF(OR(G368=G367,BITWISE_XOR(G367,G368)=VALUE("111")),"",LEFT(G368,2))</f>
        <v/>
      </c>
      <c r="I368" s="9" t="str">
        <f>IF(OR(G368=G367,BITWISE_XOR(G367,G368)=VALUE("111")),"",RIGHT(G368,1))</f>
        <v/>
      </c>
      <c r="J368" s="9" t="b">
        <f>BITWISE_XOR(BIN2DEC(G367),7)=BIN2DEC(G368)</f>
        <v>0</v>
      </c>
      <c r="K368" s="9">
        <f t="shared" si="45"/>
        <v>0</v>
      </c>
      <c r="L368" s="9" t="str">
        <f t="shared" si="46"/>
        <v/>
      </c>
      <c r="M368" s="15" t="str">
        <f t="shared" si="47"/>
        <v/>
      </c>
      <c r="N368" t="str">
        <f t="shared" si="43"/>
        <v/>
      </c>
    </row>
    <row r="369" spans="4:14" x14ac:dyDescent="0.25">
      <c r="D369">
        <v>3</v>
      </c>
      <c r="E369" t="str">
        <f t="shared" ref="E369:E405" si="48">DEC2BIN(D369,3)</f>
        <v>011</v>
      </c>
      <c r="G369" s="14" t="str">
        <f t="shared" si="44"/>
        <v>011</v>
      </c>
      <c r="H369" s="9" t="str">
        <f>IF(OR(G369=G368,BITWISE_XOR(G368,G369)=VALUE("111")),"",LEFT(G369,2))</f>
        <v/>
      </c>
      <c r="I369" s="9" t="str">
        <f>IF(OR(G369=G368,BITWISE_XOR(G368,G369)=VALUE("111")),"",RIGHT(G369,1))</f>
        <v/>
      </c>
      <c r="J369" s="9" t="b">
        <f>BITWISE_XOR(BIN2DEC(G368),7)=BIN2DEC(G369)</f>
        <v>0</v>
      </c>
      <c r="K369" s="9">
        <f t="shared" si="45"/>
        <v>0</v>
      </c>
      <c r="L369" s="9" t="str">
        <f t="shared" si="46"/>
        <v/>
      </c>
      <c r="M369" s="15" t="str">
        <f t="shared" si="47"/>
        <v/>
      </c>
      <c r="N369" t="str">
        <f t="shared" si="43"/>
        <v/>
      </c>
    </row>
    <row r="370" spans="4:14" x14ac:dyDescent="0.25">
      <c r="D370">
        <v>3</v>
      </c>
      <c r="E370" t="str">
        <f t="shared" si="48"/>
        <v>011</v>
      </c>
      <c r="G370" s="14" t="str">
        <f t="shared" si="44"/>
        <v>011</v>
      </c>
      <c r="H370" s="9" t="str">
        <f>IF(OR(G370=G369,BITWISE_XOR(G369,G370)=VALUE("111")),"",LEFT(G370,2))</f>
        <v/>
      </c>
      <c r="I370" s="9" t="str">
        <f>IF(OR(G370=G369,BITWISE_XOR(G369,G370)=VALUE("111")),"",RIGHT(G370,1))</f>
        <v/>
      </c>
      <c r="J370" s="9" t="b">
        <f>BITWISE_XOR(BIN2DEC(G369),7)=BIN2DEC(G370)</f>
        <v>0</v>
      </c>
      <c r="K370" s="9">
        <f t="shared" si="45"/>
        <v>0</v>
      </c>
      <c r="L370" s="9" t="str">
        <f t="shared" si="46"/>
        <v/>
      </c>
      <c r="M370" s="15" t="str">
        <f t="shared" si="47"/>
        <v/>
      </c>
      <c r="N370" t="str">
        <f t="shared" si="43"/>
        <v/>
      </c>
    </row>
    <row r="371" spans="4:14" x14ac:dyDescent="0.25">
      <c r="D371">
        <v>1</v>
      </c>
      <c r="E371" t="str">
        <f t="shared" si="48"/>
        <v>001</v>
      </c>
      <c r="G371" s="14" t="str">
        <f t="shared" si="44"/>
        <v>001</v>
      </c>
      <c r="H371" s="9" t="str">
        <f>IF(OR(G371=G370,BITWISE_XOR(G370,G371)=VALUE("111")),"",LEFT(G371,2))</f>
        <v>00</v>
      </c>
      <c r="I371" s="9" t="str">
        <f>IF(OR(G371=G370,BITWISE_XOR(G370,G371)=VALUE("111")),"",RIGHT(G371,1))</f>
        <v>1</v>
      </c>
      <c r="J371" s="9" t="b">
        <f>BITWISE_XOR(BIN2DEC(G370),7)=BIN2DEC(G371)</f>
        <v>0</v>
      </c>
      <c r="K371" s="9">
        <f t="shared" si="45"/>
        <v>1</v>
      </c>
      <c r="L371" s="9" t="str">
        <f t="shared" si="46"/>
        <v>00</v>
      </c>
      <c r="M371" s="15" t="str">
        <f t="shared" si="47"/>
        <v/>
      </c>
      <c r="N371" t="str">
        <f t="shared" si="43"/>
        <v/>
      </c>
    </row>
    <row r="372" spans="4:14" x14ac:dyDescent="0.25">
      <c r="D372">
        <v>1</v>
      </c>
      <c r="E372" t="str">
        <f t="shared" si="48"/>
        <v>001</v>
      </c>
      <c r="G372" s="14" t="str">
        <f t="shared" si="44"/>
        <v>001</v>
      </c>
      <c r="H372" s="9" t="str">
        <f>IF(OR(G372=G371,BITWISE_XOR(G371,G372)=VALUE("111")),"",LEFT(G372,2))</f>
        <v/>
      </c>
      <c r="I372" s="9" t="str">
        <f>IF(OR(G372=G371,BITWISE_XOR(G371,G372)=VALUE("111")),"",RIGHT(G372,1))</f>
        <v/>
      </c>
      <c r="J372" s="9" t="b">
        <f>BITWISE_XOR(BIN2DEC(G371),7)=BIN2DEC(G372)</f>
        <v>0</v>
      </c>
      <c r="K372" s="9">
        <f t="shared" si="45"/>
        <v>1</v>
      </c>
      <c r="L372" s="9" t="str">
        <f t="shared" si="46"/>
        <v>00</v>
      </c>
      <c r="M372" s="15" t="str">
        <f t="shared" si="47"/>
        <v/>
      </c>
      <c r="N372" t="str">
        <f t="shared" si="43"/>
        <v/>
      </c>
    </row>
    <row r="373" spans="4:14" x14ac:dyDescent="0.25">
      <c r="D373">
        <v>1</v>
      </c>
      <c r="E373" t="str">
        <f t="shared" si="48"/>
        <v>001</v>
      </c>
      <c r="G373" s="14" t="str">
        <f t="shared" si="44"/>
        <v>001</v>
      </c>
      <c r="H373" s="9" t="str">
        <f>IF(OR(G373=G372,BITWISE_XOR(G372,G373)=VALUE("111")),"",LEFT(G373,2))</f>
        <v/>
      </c>
      <c r="I373" s="9" t="str">
        <f>IF(OR(G373=G372,BITWISE_XOR(G372,G373)=VALUE("111")),"",RIGHT(G373,1))</f>
        <v/>
      </c>
      <c r="J373" s="9" t="b">
        <f>BITWISE_XOR(BIN2DEC(G372),7)=BIN2DEC(G373)</f>
        <v>0</v>
      </c>
      <c r="K373" s="9">
        <f t="shared" si="45"/>
        <v>1</v>
      </c>
      <c r="L373" s="9" t="str">
        <f t="shared" si="46"/>
        <v>00</v>
      </c>
      <c r="M373" s="15" t="str">
        <f t="shared" si="47"/>
        <v/>
      </c>
      <c r="N373" t="str">
        <f t="shared" si="43"/>
        <v/>
      </c>
    </row>
    <row r="374" spans="4:14" x14ac:dyDescent="0.25">
      <c r="D374">
        <v>1</v>
      </c>
      <c r="E374" t="str">
        <f t="shared" si="48"/>
        <v>001</v>
      </c>
      <c r="G374" s="14" t="str">
        <f t="shared" si="44"/>
        <v>001</v>
      </c>
      <c r="H374" s="9" t="str">
        <f>IF(OR(G374=G373,BITWISE_XOR(G373,G374)=VALUE("111")),"",LEFT(G374,2))</f>
        <v/>
      </c>
      <c r="I374" s="9" t="str">
        <f>IF(OR(G374=G373,BITWISE_XOR(G373,G374)=VALUE("111")),"",RIGHT(G374,1))</f>
        <v/>
      </c>
      <c r="J374" s="9" t="b">
        <f>BITWISE_XOR(BIN2DEC(G373),7)=BIN2DEC(G374)</f>
        <v>0</v>
      </c>
      <c r="K374" s="9">
        <f t="shared" si="45"/>
        <v>1</v>
      </c>
      <c r="L374" s="9" t="str">
        <f t="shared" si="46"/>
        <v>00</v>
      </c>
      <c r="M374" s="15" t="str">
        <f t="shared" si="47"/>
        <v/>
      </c>
      <c r="N374" t="str">
        <f t="shared" si="43"/>
        <v/>
      </c>
    </row>
    <row r="375" spans="4:14" x14ac:dyDescent="0.25">
      <c r="D375">
        <v>1</v>
      </c>
      <c r="E375" t="str">
        <f t="shared" si="48"/>
        <v>001</v>
      </c>
      <c r="G375" s="14" t="str">
        <f t="shared" si="44"/>
        <v>001</v>
      </c>
      <c r="H375" s="9" t="str">
        <f>IF(OR(G375=G374,BITWISE_XOR(G374,G375)=VALUE("111")),"",LEFT(G375,2))</f>
        <v/>
      </c>
      <c r="I375" s="9" t="str">
        <f>IF(OR(G375=G374,BITWISE_XOR(G374,G375)=VALUE("111")),"",RIGHT(G375,1))</f>
        <v/>
      </c>
      <c r="J375" s="9" t="b">
        <f>BITWISE_XOR(BIN2DEC(G374),7)=BIN2DEC(G375)</f>
        <v>0</v>
      </c>
      <c r="K375" s="9">
        <f t="shared" si="45"/>
        <v>1</v>
      </c>
      <c r="L375" s="9" t="str">
        <f t="shared" si="46"/>
        <v>00</v>
      </c>
      <c r="M375" s="15" t="str">
        <f t="shared" si="47"/>
        <v/>
      </c>
      <c r="N375" t="str">
        <f t="shared" si="43"/>
        <v/>
      </c>
    </row>
    <row r="376" spans="4:14" x14ac:dyDescent="0.25">
      <c r="D376">
        <v>1</v>
      </c>
      <c r="E376" t="str">
        <f t="shared" si="48"/>
        <v>001</v>
      </c>
      <c r="G376" s="14" t="str">
        <f t="shared" si="44"/>
        <v>001</v>
      </c>
      <c r="H376" s="9" t="str">
        <f>IF(OR(G376=G375,BITWISE_XOR(G375,G376)=VALUE("111")),"",LEFT(G376,2))</f>
        <v/>
      </c>
      <c r="I376" s="9" t="str">
        <f>IF(OR(G376=G375,BITWISE_XOR(G375,G376)=VALUE("111")),"",RIGHT(G376,1))</f>
        <v/>
      </c>
      <c r="J376" s="9" t="b">
        <f>BITWISE_XOR(BIN2DEC(G375),7)=BIN2DEC(G376)</f>
        <v>0</v>
      </c>
      <c r="K376" s="9">
        <f t="shared" si="45"/>
        <v>1</v>
      </c>
      <c r="L376" s="9" t="str">
        <f t="shared" si="46"/>
        <v>00</v>
      </c>
      <c r="M376" s="15" t="str">
        <f t="shared" si="47"/>
        <v/>
      </c>
      <c r="N376" t="str">
        <f t="shared" si="43"/>
        <v/>
      </c>
    </row>
    <row r="377" spans="4:14" x14ac:dyDescent="0.25">
      <c r="D377">
        <v>1</v>
      </c>
      <c r="E377" t="str">
        <f t="shared" si="48"/>
        <v>001</v>
      </c>
      <c r="G377" s="14" t="str">
        <f t="shared" si="44"/>
        <v>001</v>
      </c>
      <c r="H377" s="9" t="str">
        <f>IF(OR(G377=G376,BITWISE_XOR(G376,G377)=VALUE("111")),"",LEFT(G377,2))</f>
        <v/>
      </c>
      <c r="I377" s="9" t="str">
        <f>IF(OR(G377=G376,BITWISE_XOR(G376,G377)=VALUE("111")),"",RIGHT(G377,1))</f>
        <v/>
      </c>
      <c r="J377" s="9" t="b">
        <f>BITWISE_XOR(BIN2DEC(G376),7)=BIN2DEC(G377)</f>
        <v>0</v>
      </c>
      <c r="K377" s="9">
        <f t="shared" si="45"/>
        <v>1</v>
      </c>
      <c r="L377" s="9" t="str">
        <f t="shared" si="46"/>
        <v>00</v>
      </c>
      <c r="M377" s="15" t="str">
        <f t="shared" si="47"/>
        <v/>
      </c>
      <c r="N377" t="str">
        <f t="shared" si="43"/>
        <v/>
      </c>
    </row>
    <row r="378" spans="4:14" x14ac:dyDescent="0.25">
      <c r="D378">
        <v>3</v>
      </c>
      <c r="E378" t="str">
        <f t="shared" si="48"/>
        <v>011</v>
      </c>
      <c r="G378" s="14" t="str">
        <f t="shared" si="44"/>
        <v>011</v>
      </c>
      <c r="H378" s="9" t="str">
        <f>IF(OR(G378=G377,BITWISE_XOR(G377,G378)=VALUE("111")),"",LEFT(G378,2))</f>
        <v>01</v>
      </c>
      <c r="I378" s="9" t="str">
        <f>IF(OR(G378=G377,BITWISE_XOR(G377,G378)=VALUE("111")),"",RIGHT(G378,1))</f>
        <v>1</v>
      </c>
      <c r="J378" s="9" t="b">
        <f>BITWISE_XOR(BIN2DEC(G377),7)=BIN2DEC(G378)</f>
        <v>0</v>
      </c>
      <c r="K378" s="9">
        <f t="shared" si="45"/>
        <v>2</v>
      </c>
      <c r="L378" s="9" t="str">
        <f t="shared" si="46"/>
        <v>0100</v>
      </c>
      <c r="M378" s="15" t="str">
        <f t="shared" si="47"/>
        <v/>
      </c>
      <c r="N378" t="str">
        <f t="shared" si="43"/>
        <v/>
      </c>
    </row>
    <row r="379" spans="4:14" x14ac:dyDescent="0.25">
      <c r="D379">
        <v>3</v>
      </c>
      <c r="E379" t="str">
        <f t="shared" si="48"/>
        <v>011</v>
      </c>
      <c r="G379" s="14" t="str">
        <f t="shared" si="44"/>
        <v>011</v>
      </c>
      <c r="H379" s="9" t="str">
        <f>IF(OR(G379=G378,BITWISE_XOR(G378,G379)=VALUE("111")),"",LEFT(G379,2))</f>
        <v/>
      </c>
      <c r="I379" s="9" t="str">
        <f>IF(OR(G379=G378,BITWISE_XOR(G378,G379)=VALUE("111")),"",RIGHT(G379,1))</f>
        <v/>
      </c>
      <c r="J379" s="9" t="b">
        <f>BITWISE_XOR(BIN2DEC(G378),7)=BIN2DEC(G379)</f>
        <v>0</v>
      </c>
      <c r="K379" s="9">
        <f t="shared" si="45"/>
        <v>2</v>
      </c>
      <c r="L379" s="9" t="str">
        <f t="shared" si="46"/>
        <v>0100</v>
      </c>
      <c r="M379" s="15" t="str">
        <f t="shared" si="47"/>
        <v/>
      </c>
      <c r="N379" t="str">
        <f t="shared" si="43"/>
        <v/>
      </c>
    </row>
    <row r="380" spans="4:14" x14ac:dyDescent="0.25">
      <c r="D380">
        <v>3</v>
      </c>
      <c r="E380" t="str">
        <f t="shared" si="48"/>
        <v>011</v>
      </c>
      <c r="G380" s="14" t="str">
        <f t="shared" si="44"/>
        <v>011</v>
      </c>
      <c r="H380" s="9" t="str">
        <f>IF(OR(G380=G379,BITWISE_XOR(G379,G380)=VALUE("111")),"",LEFT(G380,2))</f>
        <v/>
      </c>
      <c r="I380" s="9" t="str">
        <f>IF(OR(G380=G379,BITWISE_XOR(G379,G380)=VALUE("111")),"",RIGHT(G380,1))</f>
        <v/>
      </c>
      <c r="J380" s="9" t="b">
        <f>BITWISE_XOR(BIN2DEC(G379),7)=BIN2DEC(G380)</f>
        <v>0</v>
      </c>
      <c r="K380" s="9">
        <f t="shared" si="45"/>
        <v>2</v>
      </c>
      <c r="L380" s="9" t="str">
        <f t="shared" si="46"/>
        <v>0100</v>
      </c>
      <c r="M380" s="15" t="str">
        <f t="shared" si="47"/>
        <v/>
      </c>
      <c r="N380" t="str">
        <f t="shared" si="43"/>
        <v/>
      </c>
    </row>
    <row r="381" spans="4:14" x14ac:dyDescent="0.25">
      <c r="D381">
        <v>3</v>
      </c>
      <c r="E381" t="str">
        <f t="shared" si="48"/>
        <v>011</v>
      </c>
      <c r="G381" s="14" t="str">
        <f t="shared" si="44"/>
        <v>011</v>
      </c>
      <c r="H381" s="9" t="str">
        <f>IF(OR(G381=G380,BITWISE_XOR(G380,G381)=VALUE("111")),"",LEFT(G381,2))</f>
        <v/>
      </c>
      <c r="I381" s="9" t="str">
        <f>IF(OR(G381=G380,BITWISE_XOR(G380,G381)=VALUE("111")),"",RIGHT(G381,1))</f>
        <v/>
      </c>
      <c r="J381" s="9" t="b">
        <f>BITWISE_XOR(BIN2DEC(G380),7)=BIN2DEC(G381)</f>
        <v>0</v>
      </c>
      <c r="K381" s="9">
        <f t="shared" si="45"/>
        <v>2</v>
      </c>
      <c r="L381" s="9" t="str">
        <f t="shared" si="46"/>
        <v>0100</v>
      </c>
      <c r="M381" s="15" t="str">
        <f t="shared" si="47"/>
        <v/>
      </c>
      <c r="N381" t="str">
        <f t="shared" si="43"/>
        <v/>
      </c>
    </row>
    <row r="382" spans="4:14" x14ac:dyDescent="0.25">
      <c r="D382">
        <v>3</v>
      </c>
      <c r="E382" t="str">
        <f t="shared" si="48"/>
        <v>011</v>
      </c>
      <c r="G382" s="14" t="str">
        <f t="shared" si="44"/>
        <v>011</v>
      </c>
      <c r="H382" s="9" t="str">
        <f>IF(OR(G382=G381,BITWISE_XOR(G381,G382)=VALUE("111")),"",LEFT(G382,2))</f>
        <v/>
      </c>
      <c r="I382" s="9" t="str">
        <f>IF(OR(G382=G381,BITWISE_XOR(G381,G382)=VALUE("111")),"",RIGHT(G382,1))</f>
        <v/>
      </c>
      <c r="J382" s="9" t="b">
        <f>BITWISE_XOR(BIN2DEC(G381),7)=BIN2DEC(G382)</f>
        <v>0</v>
      </c>
      <c r="K382" s="9">
        <f t="shared" si="45"/>
        <v>2</v>
      </c>
      <c r="L382" s="9" t="str">
        <f t="shared" si="46"/>
        <v>0100</v>
      </c>
      <c r="M382" s="15" t="str">
        <f t="shared" si="47"/>
        <v/>
      </c>
      <c r="N382" t="str">
        <f t="shared" si="43"/>
        <v/>
      </c>
    </row>
    <row r="383" spans="4:14" x14ac:dyDescent="0.25">
      <c r="D383">
        <v>3</v>
      </c>
      <c r="E383" t="str">
        <f t="shared" si="48"/>
        <v>011</v>
      </c>
      <c r="G383" s="14" t="str">
        <f t="shared" si="44"/>
        <v>011</v>
      </c>
      <c r="H383" s="9" t="str">
        <f>IF(OR(G383=G382,BITWISE_XOR(G382,G383)=VALUE("111")),"",LEFT(G383,2))</f>
        <v/>
      </c>
      <c r="I383" s="9" t="str">
        <f>IF(OR(G383=G382,BITWISE_XOR(G382,G383)=VALUE("111")),"",RIGHT(G383,1))</f>
        <v/>
      </c>
      <c r="J383" s="9" t="b">
        <f>BITWISE_XOR(BIN2DEC(G382),7)=BIN2DEC(G383)</f>
        <v>0</v>
      </c>
      <c r="K383" s="9">
        <f t="shared" si="45"/>
        <v>2</v>
      </c>
      <c r="L383" s="9" t="str">
        <f t="shared" si="46"/>
        <v>0100</v>
      </c>
      <c r="M383" s="15" t="str">
        <f t="shared" si="47"/>
        <v/>
      </c>
      <c r="N383" t="str">
        <f t="shared" si="43"/>
        <v/>
      </c>
    </row>
    <row r="384" spans="4:14" x14ac:dyDescent="0.25">
      <c r="D384">
        <v>3</v>
      </c>
      <c r="E384" t="str">
        <f t="shared" si="48"/>
        <v>011</v>
      </c>
      <c r="G384" s="14" t="str">
        <f t="shared" si="44"/>
        <v>011</v>
      </c>
      <c r="H384" s="9" t="str">
        <f>IF(OR(G384=G383,BITWISE_XOR(G383,G384)=VALUE("111")),"",LEFT(G384,2))</f>
        <v/>
      </c>
      <c r="I384" s="9" t="str">
        <f>IF(OR(G384=G383,BITWISE_XOR(G383,G384)=VALUE("111")),"",RIGHT(G384,1))</f>
        <v/>
      </c>
      <c r="J384" s="9" t="b">
        <f>BITWISE_XOR(BIN2DEC(G383),7)=BIN2DEC(G384)</f>
        <v>0</v>
      </c>
      <c r="K384" s="9">
        <f t="shared" si="45"/>
        <v>2</v>
      </c>
      <c r="L384" s="9" t="str">
        <f t="shared" si="46"/>
        <v>0100</v>
      </c>
      <c r="M384" s="15" t="str">
        <f t="shared" si="47"/>
        <v/>
      </c>
      <c r="N384" t="str">
        <f t="shared" si="43"/>
        <v/>
      </c>
    </row>
    <row r="385" spans="4:14" x14ac:dyDescent="0.25">
      <c r="D385">
        <v>5</v>
      </c>
      <c r="E385" t="str">
        <f t="shared" si="48"/>
        <v>101</v>
      </c>
      <c r="G385" s="14" t="str">
        <f t="shared" si="44"/>
        <v>101</v>
      </c>
      <c r="H385" s="9" t="str">
        <f>IF(OR(G385=G384,BITWISE_XOR(G384,G385)=VALUE("111")),"",LEFT(G385,2))</f>
        <v>10</v>
      </c>
      <c r="I385" s="9" t="str">
        <f>IF(OR(G385=G384,BITWISE_XOR(G384,G385)=VALUE("111")),"",RIGHT(G385,1))</f>
        <v>1</v>
      </c>
      <c r="J385" s="9" t="b">
        <f>BITWISE_XOR(BIN2DEC(G384),7)=BIN2DEC(G385)</f>
        <v>0</v>
      </c>
      <c r="K385" s="9">
        <f t="shared" si="45"/>
        <v>3</v>
      </c>
      <c r="L385" s="9" t="str">
        <f t="shared" si="46"/>
        <v>100100</v>
      </c>
      <c r="M385" s="15" t="str">
        <f t="shared" si="47"/>
        <v/>
      </c>
      <c r="N385" t="str">
        <f t="shared" si="43"/>
        <v/>
      </c>
    </row>
    <row r="386" spans="4:14" x14ac:dyDescent="0.25">
      <c r="D386">
        <v>5</v>
      </c>
      <c r="E386" t="str">
        <f t="shared" si="48"/>
        <v>101</v>
      </c>
      <c r="G386" s="14" t="str">
        <f t="shared" si="44"/>
        <v>101</v>
      </c>
      <c r="H386" s="9" t="str">
        <f>IF(OR(G386=G385,BITWISE_XOR(G385,G386)=VALUE("111")),"",LEFT(G386,2))</f>
        <v/>
      </c>
      <c r="I386" s="9" t="str">
        <f>IF(OR(G386=G385,BITWISE_XOR(G385,G386)=VALUE("111")),"",RIGHT(G386,1))</f>
        <v/>
      </c>
      <c r="J386" s="9" t="b">
        <f>BITWISE_XOR(BIN2DEC(G385),7)=BIN2DEC(G386)</f>
        <v>0</v>
      </c>
      <c r="K386" s="9">
        <f t="shared" si="45"/>
        <v>3</v>
      </c>
      <c r="L386" s="9" t="str">
        <f t="shared" si="46"/>
        <v>100100</v>
      </c>
      <c r="M386" s="15" t="str">
        <f t="shared" si="47"/>
        <v/>
      </c>
      <c r="N386" t="str">
        <f t="shared" si="43"/>
        <v/>
      </c>
    </row>
    <row r="387" spans="4:14" x14ac:dyDescent="0.25">
      <c r="D387">
        <v>5</v>
      </c>
      <c r="E387" t="str">
        <f t="shared" si="48"/>
        <v>101</v>
      </c>
      <c r="G387" s="14" t="str">
        <f t="shared" si="44"/>
        <v>101</v>
      </c>
      <c r="H387" s="9" t="str">
        <f>IF(OR(G387=G386,BITWISE_XOR(G386,G387)=VALUE("111")),"",LEFT(G387,2))</f>
        <v/>
      </c>
      <c r="I387" s="9" t="str">
        <f>IF(OR(G387=G386,BITWISE_XOR(G386,G387)=VALUE("111")),"",RIGHT(G387,1))</f>
        <v/>
      </c>
      <c r="J387" s="9" t="b">
        <f>BITWISE_XOR(BIN2DEC(G386),7)=BIN2DEC(G387)</f>
        <v>0</v>
      </c>
      <c r="K387" s="9">
        <f t="shared" si="45"/>
        <v>3</v>
      </c>
      <c r="L387" s="9" t="str">
        <f t="shared" si="46"/>
        <v>100100</v>
      </c>
      <c r="M387" s="15" t="str">
        <f t="shared" si="47"/>
        <v/>
      </c>
      <c r="N387" t="str">
        <f t="shared" si="43"/>
        <v/>
      </c>
    </row>
    <row r="388" spans="4:14" x14ac:dyDescent="0.25">
      <c r="D388">
        <v>5</v>
      </c>
      <c r="E388" t="str">
        <f t="shared" si="48"/>
        <v>101</v>
      </c>
      <c r="G388" s="14" t="str">
        <f t="shared" si="44"/>
        <v>101</v>
      </c>
      <c r="H388" s="9" t="str">
        <f>IF(OR(G388=G387,BITWISE_XOR(G387,G388)=VALUE("111")),"",LEFT(G388,2))</f>
        <v/>
      </c>
      <c r="I388" s="9" t="str">
        <f>IF(OR(G388=G387,BITWISE_XOR(G387,G388)=VALUE("111")),"",RIGHT(G388,1))</f>
        <v/>
      </c>
      <c r="J388" s="9" t="b">
        <f>BITWISE_XOR(BIN2DEC(G387),7)=BIN2DEC(G388)</f>
        <v>0</v>
      </c>
      <c r="K388" s="9">
        <f t="shared" si="45"/>
        <v>3</v>
      </c>
      <c r="L388" s="9" t="str">
        <f t="shared" si="46"/>
        <v>100100</v>
      </c>
      <c r="M388" s="15" t="str">
        <f t="shared" si="47"/>
        <v/>
      </c>
      <c r="N388" t="str">
        <f t="shared" si="43"/>
        <v/>
      </c>
    </row>
    <row r="389" spans="4:14" x14ac:dyDescent="0.25">
      <c r="D389">
        <v>5</v>
      </c>
      <c r="E389" t="str">
        <f t="shared" si="48"/>
        <v>101</v>
      </c>
      <c r="G389" s="14" t="str">
        <f t="shared" si="44"/>
        <v>101</v>
      </c>
      <c r="H389" s="9" t="str">
        <f>IF(OR(G389=G388,BITWISE_XOR(G388,G389)=VALUE("111")),"",LEFT(G389,2))</f>
        <v/>
      </c>
      <c r="I389" s="9" t="str">
        <f>IF(OR(G389=G388,BITWISE_XOR(G388,G389)=VALUE("111")),"",RIGHT(G389,1))</f>
        <v/>
      </c>
      <c r="J389" s="9" t="b">
        <f>BITWISE_XOR(BIN2DEC(G388),7)=BIN2DEC(G389)</f>
        <v>0</v>
      </c>
      <c r="K389" s="9">
        <f t="shared" si="45"/>
        <v>3</v>
      </c>
      <c r="L389" s="9" t="str">
        <f t="shared" si="46"/>
        <v>100100</v>
      </c>
      <c r="M389" s="15" t="str">
        <f t="shared" si="47"/>
        <v/>
      </c>
      <c r="N389" t="str">
        <f t="shared" si="43"/>
        <v/>
      </c>
    </row>
    <row r="390" spans="4:14" x14ac:dyDescent="0.25">
      <c r="D390">
        <v>5</v>
      </c>
      <c r="E390" t="str">
        <f t="shared" si="48"/>
        <v>101</v>
      </c>
      <c r="G390" s="14" t="str">
        <f t="shared" si="44"/>
        <v>101</v>
      </c>
      <c r="H390" s="9" t="str">
        <f>IF(OR(G390=G389,BITWISE_XOR(G389,G390)=VALUE("111")),"",LEFT(G390,2))</f>
        <v/>
      </c>
      <c r="I390" s="9" t="str">
        <f>IF(OR(G390=G389,BITWISE_XOR(G389,G390)=VALUE("111")),"",RIGHT(G390,1))</f>
        <v/>
      </c>
      <c r="J390" s="9" t="b">
        <f>BITWISE_XOR(BIN2DEC(G389),7)=BIN2DEC(G390)</f>
        <v>0</v>
      </c>
      <c r="K390" s="9">
        <f t="shared" si="45"/>
        <v>3</v>
      </c>
      <c r="L390" s="9" t="str">
        <f t="shared" si="46"/>
        <v>100100</v>
      </c>
      <c r="M390" s="15" t="str">
        <f t="shared" si="47"/>
        <v/>
      </c>
      <c r="N390" t="str">
        <f t="shared" si="43"/>
        <v/>
      </c>
    </row>
    <row r="391" spans="4:14" x14ac:dyDescent="0.25">
      <c r="D391">
        <v>5</v>
      </c>
      <c r="E391" t="str">
        <f t="shared" si="48"/>
        <v>101</v>
      </c>
      <c r="G391" s="14" t="str">
        <f t="shared" si="44"/>
        <v>101</v>
      </c>
      <c r="H391" s="9" t="str">
        <f>IF(OR(G391=G390,BITWISE_XOR(G390,G391)=VALUE("111")),"",LEFT(G391,2))</f>
        <v/>
      </c>
      <c r="I391" s="9" t="str">
        <f>IF(OR(G391=G390,BITWISE_XOR(G390,G391)=VALUE("111")),"",RIGHT(G391,1))</f>
        <v/>
      </c>
      <c r="J391" s="9" t="b">
        <f>BITWISE_XOR(BIN2DEC(G390),7)=BIN2DEC(G391)</f>
        <v>0</v>
      </c>
      <c r="K391" s="9">
        <f t="shared" si="45"/>
        <v>3</v>
      </c>
      <c r="L391" s="9" t="str">
        <f t="shared" si="46"/>
        <v>100100</v>
      </c>
      <c r="M391" s="15" t="str">
        <f t="shared" si="47"/>
        <v/>
      </c>
      <c r="N391" t="str">
        <f t="shared" si="43"/>
        <v/>
      </c>
    </row>
    <row r="392" spans="4:14" x14ac:dyDescent="0.25">
      <c r="D392">
        <v>3</v>
      </c>
      <c r="E392" t="str">
        <f t="shared" si="48"/>
        <v>011</v>
      </c>
      <c r="G392" s="14" t="str">
        <f t="shared" si="44"/>
        <v>011</v>
      </c>
      <c r="H392" s="9" t="str">
        <f>IF(OR(G392=G391,BITWISE_XOR(G391,G392)=VALUE("111")),"",LEFT(G392,2))</f>
        <v>01</v>
      </c>
      <c r="I392" s="9" t="str">
        <f>IF(OR(G392=G391,BITWISE_XOR(G391,G392)=VALUE("111")),"",RIGHT(G392,1))</f>
        <v>1</v>
      </c>
      <c r="J392" s="9" t="b">
        <f>BITWISE_XOR(BIN2DEC(G391),7)=BIN2DEC(G392)</f>
        <v>0</v>
      </c>
      <c r="K392" s="9">
        <f t="shared" si="45"/>
        <v>0</v>
      </c>
      <c r="L392" s="9" t="str">
        <f t="shared" si="46"/>
        <v>01100100</v>
      </c>
      <c r="M392" s="15">
        <f t="shared" si="47"/>
        <v>100</v>
      </c>
      <c r="N392" t="str">
        <f t="shared" si="43"/>
        <v>d</v>
      </c>
    </row>
    <row r="393" spans="4:14" x14ac:dyDescent="0.25">
      <c r="D393">
        <v>3</v>
      </c>
      <c r="E393" t="str">
        <f t="shared" si="48"/>
        <v>011</v>
      </c>
      <c r="G393" s="14" t="str">
        <f t="shared" si="44"/>
        <v>011</v>
      </c>
      <c r="H393" s="9" t="str">
        <f>IF(OR(G393=G392,BITWISE_XOR(G392,G393)=VALUE("111")),"",LEFT(G393,2))</f>
        <v/>
      </c>
      <c r="I393" s="9" t="str">
        <f>IF(OR(G393=G392,BITWISE_XOR(G392,G393)=VALUE("111")),"",RIGHT(G393,1))</f>
        <v/>
      </c>
      <c r="J393" s="9" t="b">
        <f>BITWISE_XOR(BIN2DEC(G392),7)=BIN2DEC(G393)</f>
        <v>0</v>
      </c>
      <c r="K393" s="9">
        <f t="shared" si="45"/>
        <v>0</v>
      </c>
      <c r="L393" s="9" t="str">
        <f t="shared" si="46"/>
        <v/>
      </c>
      <c r="M393" s="15" t="str">
        <f t="shared" si="47"/>
        <v/>
      </c>
      <c r="N393" t="str">
        <f t="shared" si="43"/>
        <v/>
      </c>
    </row>
    <row r="394" spans="4:14" x14ac:dyDescent="0.25">
      <c r="D394">
        <v>3</v>
      </c>
      <c r="E394" t="str">
        <f t="shared" si="48"/>
        <v>011</v>
      </c>
      <c r="G394" s="14" t="str">
        <f t="shared" si="44"/>
        <v>011</v>
      </c>
      <c r="H394" s="9" t="str">
        <f>IF(OR(G394=G393,BITWISE_XOR(G393,G394)=VALUE("111")),"",LEFT(G394,2))</f>
        <v/>
      </c>
      <c r="I394" s="9" t="str">
        <f>IF(OR(G394=G393,BITWISE_XOR(G393,G394)=VALUE("111")),"",RIGHT(G394,1))</f>
        <v/>
      </c>
      <c r="J394" s="9" t="b">
        <f>BITWISE_XOR(BIN2DEC(G393),7)=BIN2DEC(G394)</f>
        <v>0</v>
      </c>
      <c r="K394" s="9">
        <f t="shared" si="45"/>
        <v>0</v>
      </c>
      <c r="L394" s="9" t="str">
        <f t="shared" si="46"/>
        <v/>
      </c>
      <c r="M394" s="15" t="str">
        <f t="shared" si="47"/>
        <v/>
      </c>
      <c r="N394" t="str">
        <f t="shared" si="43"/>
        <v/>
      </c>
    </row>
    <row r="395" spans="4:14" x14ac:dyDescent="0.25">
      <c r="D395">
        <v>3</v>
      </c>
      <c r="E395" t="str">
        <f t="shared" si="48"/>
        <v>011</v>
      </c>
      <c r="G395" s="14" t="str">
        <f t="shared" si="44"/>
        <v>011</v>
      </c>
      <c r="H395" s="9" t="str">
        <f>IF(OR(G395=G394,BITWISE_XOR(G394,G395)=VALUE("111")),"",LEFT(G395,2))</f>
        <v/>
      </c>
      <c r="I395" s="9" t="str">
        <f>IF(OR(G395=G394,BITWISE_XOR(G394,G395)=VALUE("111")),"",RIGHT(G395,1))</f>
        <v/>
      </c>
      <c r="J395" s="9" t="b">
        <f>BITWISE_XOR(BIN2DEC(G394),7)=BIN2DEC(G395)</f>
        <v>0</v>
      </c>
      <c r="K395" s="9">
        <f t="shared" si="45"/>
        <v>0</v>
      </c>
      <c r="L395" s="9" t="str">
        <f t="shared" si="46"/>
        <v/>
      </c>
      <c r="M395" s="15" t="str">
        <f t="shared" si="47"/>
        <v/>
      </c>
      <c r="N395" t="str">
        <f t="shared" si="43"/>
        <v/>
      </c>
    </row>
    <row r="396" spans="4:14" x14ac:dyDescent="0.25">
      <c r="D396">
        <v>3</v>
      </c>
      <c r="E396" t="str">
        <f t="shared" si="48"/>
        <v>011</v>
      </c>
      <c r="G396" s="14" t="str">
        <f t="shared" si="44"/>
        <v>011</v>
      </c>
      <c r="H396" s="9" t="str">
        <f>IF(OR(G396=G395,BITWISE_XOR(G395,G396)=VALUE("111")),"",LEFT(G396,2))</f>
        <v/>
      </c>
      <c r="I396" s="9" t="str">
        <f>IF(OR(G396=G395,BITWISE_XOR(G395,G396)=VALUE("111")),"",RIGHT(G396,1))</f>
        <v/>
      </c>
      <c r="J396" s="9" t="b">
        <f>BITWISE_XOR(BIN2DEC(G395),7)=BIN2DEC(G396)</f>
        <v>0</v>
      </c>
      <c r="K396" s="9">
        <f t="shared" si="45"/>
        <v>0</v>
      </c>
      <c r="L396" s="9" t="str">
        <f t="shared" si="46"/>
        <v/>
      </c>
      <c r="M396" s="15" t="str">
        <f t="shared" si="47"/>
        <v/>
      </c>
      <c r="N396" t="str">
        <f t="shared" si="43"/>
        <v/>
      </c>
    </row>
    <row r="397" spans="4:14" x14ac:dyDescent="0.25">
      <c r="D397">
        <v>3</v>
      </c>
      <c r="E397" t="str">
        <f t="shared" si="48"/>
        <v>011</v>
      </c>
      <c r="G397" s="14" t="str">
        <f t="shared" si="44"/>
        <v>011</v>
      </c>
      <c r="H397" s="9" t="str">
        <f>IF(OR(G397=G396,BITWISE_XOR(G396,G397)=VALUE("111")),"",LEFT(G397,2))</f>
        <v/>
      </c>
      <c r="I397" s="9" t="str">
        <f>IF(OR(G397=G396,BITWISE_XOR(G396,G397)=VALUE("111")),"",RIGHT(G397,1))</f>
        <v/>
      </c>
      <c r="J397" s="9" t="b">
        <f>BITWISE_XOR(BIN2DEC(G396),7)=BIN2DEC(G397)</f>
        <v>0</v>
      </c>
      <c r="K397" s="9">
        <f t="shared" si="45"/>
        <v>0</v>
      </c>
      <c r="L397" s="9" t="str">
        <f t="shared" si="46"/>
        <v/>
      </c>
      <c r="M397" s="15" t="str">
        <f t="shared" si="47"/>
        <v/>
      </c>
      <c r="N397" t="str">
        <f t="shared" si="43"/>
        <v/>
      </c>
    </row>
    <row r="398" spans="4:14" x14ac:dyDescent="0.25">
      <c r="D398">
        <v>3</v>
      </c>
      <c r="E398" t="str">
        <f t="shared" si="48"/>
        <v>011</v>
      </c>
      <c r="G398" s="14" t="str">
        <f t="shared" si="44"/>
        <v>011</v>
      </c>
      <c r="H398" s="9" t="str">
        <f>IF(OR(G398=G397,BITWISE_XOR(G397,G398)=VALUE("111")),"",LEFT(G398,2))</f>
        <v/>
      </c>
      <c r="I398" s="9" t="str">
        <f>IF(OR(G398=G397,BITWISE_XOR(G397,G398)=VALUE("111")),"",RIGHT(G398,1))</f>
        <v/>
      </c>
      <c r="J398" s="9" t="b">
        <f>BITWISE_XOR(BIN2DEC(G397),7)=BIN2DEC(G398)</f>
        <v>0</v>
      </c>
      <c r="K398" s="9">
        <f t="shared" si="45"/>
        <v>0</v>
      </c>
      <c r="L398" s="9" t="str">
        <f t="shared" si="46"/>
        <v/>
      </c>
      <c r="M398" s="15" t="str">
        <f t="shared" si="47"/>
        <v/>
      </c>
      <c r="N398" t="str">
        <f t="shared" si="43"/>
        <v/>
      </c>
    </row>
    <row r="399" spans="4:14" x14ac:dyDescent="0.25">
      <c r="D399">
        <v>4</v>
      </c>
      <c r="E399" t="str">
        <f t="shared" si="48"/>
        <v>100</v>
      </c>
      <c r="G399" s="14" t="str">
        <f t="shared" si="44"/>
        <v>100</v>
      </c>
      <c r="H399" s="9" t="str">
        <f>IF(OR(G399=G398,BITWISE_XOR(G398,G399)=VALUE("111")),"",LEFT(G399,2))</f>
        <v/>
      </c>
      <c r="I399" s="9" t="str">
        <f>IF(OR(G399=G398,BITWISE_XOR(G398,G399)=VALUE("111")),"",RIGHT(G399,1))</f>
        <v/>
      </c>
      <c r="J399" s="9" t="b">
        <f>BITWISE_XOR(BIN2DEC(G398),7)=BIN2DEC(G399)</f>
        <v>1</v>
      </c>
      <c r="K399" s="9">
        <f t="shared" si="45"/>
        <v>0</v>
      </c>
      <c r="L399" s="9" t="str">
        <f t="shared" si="46"/>
        <v/>
      </c>
      <c r="M399" s="15" t="str">
        <f t="shared" si="47"/>
        <v/>
      </c>
      <c r="N399" t="str">
        <f t="shared" si="43"/>
        <v/>
      </c>
    </row>
    <row r="400" spans="4:14" x14ac:dyDescent="0.25">
      <c r="D400">
        <v>4</v>
      </c>
      <c r="E400" t="str">
        <f t="shared" si="48"/>
        <v>100</v>
      </c>
      <c r="G400" s="14" t="str">
        <f t="shared" si="44"/>
        <v>100</v>
      </c>
      <c r="H400" s="9" t="str">
        <f>IF(OR(G400=G399,BITWISE_XOR(G399,G400)=VALUE("111")),"",LEFT(G400,2))</f>
        <v/>
      </c>
      <c r="I400" s="9" t="str">
        <f>IF(OR(G400=G399,BITWISE_XOR(G399,G400)=VALUE("111")),"",RIGHT(G400,1))</f>
        <v/>
      </c>
      <c r="J400" s="9" t="b">
        <f>BITWISE_XOR(BIN2DEC(G399),7)=BIN2DEC(G400)</f>
        <v>0</v>
      </c>
      <c r="K400" s="9">
        <f t="shared" si="45"/>
        <v>0</v>
      </c>
      <c r="L400" s="9" t="str">
        <f t="shared" si="46"/>
        <v/>
      </c>
      <c r="M400" s="15" t="str">
        <f t="shared" si="47"/>
        <v/>
      </c>
      <c r="N400" t="str">
        <f t="shared" si="43"/>
        <v/>
      </c>
    </row>
    <row r="401" spans="4:14" x14ac:dyDescent="0.25">
      <c r="D401">
        <v>4</v>
      </c>
      <c r="E401" t="str">
        <f t="shared" si="48"/>
        <v>100</v>
      </c>
      <c r="G401" s="14" t="str">
        <f t="shared" si="44"/>
        <v>100</v>
      </c>
      <c r="H401" s="9" t="str">
        <f>IF(OR(G401=G400,BITWISE_XOR(G400,G401)=VALUE("111")),"",LEFT(G401,2))</f>
        <v/>
      </c>
      <c r="I401" s="9" t="str">
        <f>IF(OR(G401=G400,BITWISE_XOR(G400,G401)=VALUE("111")),"",RIGHT(G401,1))</f>
        <v/>
      </c>
      <c r="J401" s="9" t="b">
        <f>BITWISE_XOR(BIN2DEC(G400),7)=BIN2DEC(G401)</f>
        <v>0</v>
      </c>
      <c r="K401" s="9">
        <f t="shared" si="45"/>
        <v>0</v>
      </c>
      <c r="L401" s="9" t="str">
        <f t="shared" si="46"/>
        <v/>
      </c>
      <c r="M401" s="15" t="str">
        <f t="shared" si="47"/>
        <v/>
      </c>
      <c r="N401" t="str">
        <f t="shared" si="43"/>
        <v/>
      </c>
    </row>
    <row r="402" spans="4:14" x14ac:dyDescent="0.25">
      <c r="D402">
        <v>4</v>
      </c>
      <c r="E402" t="str">
        <f t="shared" si="48"/>
        <v>100</v>
      </c>
      <c r="G402" s="14" t="str">
        <f t="shared" si="44"/>
        <v>100</v>
      </c>
      <c r="H402" s="9" t="str">
        <f>IF(OR(G402=G401,BITWISE_XOR(G401,G402)=VALUE("111")),"",LEFT(G402,2))</f>
        <v/>
      </c>
      <c r="I402" s="9" t="str">
        <f>IF(OR(G402=G401,BITWISE_XOR(G401,G402)=VALUE("111")),"",RIGHT(G402,1))</f>
        <v/>
      </c>
      <c r="J402" s="9" t="b">
        <f>BITWISE_XOR(BIN2DEC(G401),7)=BIN2DEC(G402)</f>
        <v>0</v>
      </c>
      <c r="K402" s="9">
        <f t="shared" si="45"/>
        <v>0</v>
      </c>
      <c r="L402" s="9" t="str">
        <f t="shared" si="46"/>
        <v/>
      </c>
      <c r="M402" s="15" t="str">
        <f t="shared" si="47"/>
        <v/>
      </c>
      <c r="N402" t="str">
        <f t="shared" si="43"/>
        <v/>
      </c>
    </row>
    <row r="403" spans="4:14" x14ac:dyDescent="0.25">
      <c r="D403">
        <v>4</v>
      </c>
      <c r="E403" t="str">
        <f t="shared" si="48"/>
        <v>100</v>
      </c>
      <c r="G403" s="14" t="str">
        <f t="shared" si="44"/>
        <v>100</v>
      </c>
      <c r="H403" s="9" t="str">
        <f>IF(OR(G403=G402,BITWISE_XOR(G402,G403)=VALUE("111")),"",LEFT(G403,2))</f>
        <v/>
      </c>
      <c r="I403" s="9" t="str">
        <f>IF(OR(G403=G402,BITWISE_XOR(G402,G403)=VALUE("111")),"",RIGHT(G403,1))</f>
        <v/>
      </c>
      <c r="J403" s="9" t="b">
        <f>BITWISE_XOR(BIN2DEC(G402),7)=BIN2DEC(G403)</f>
        <v>0</v>
      </c>
      <c r="K403" s="9">
        <f t="shared" si="45"/>
        <v>0</v>
      </c>
      <c r="L403" s="9" t="str">
        <f t="shared" si="46"/>
        <v/>
      </c>
      <c r="M403" s="15" t="str">
        <f t="shared" si="47"/>
        <v/>
      </c>
      <c r="N403" t="str">
        <f t="shared" si="43"/>
        <v/>
      </c>
    </row>
    <row r="404" spans="4:14" x14ac:dyDescent="0.25">
      <c r="D404">
        <v>4</v>
      </c>
      <c r="E404" t="str">
        <f t="shared" si="48"/>
        <v>100</v>
      </c>
      <c r="G404" s="14" t="str">
        <f t="shared" si="44"/>
        <v>100</v>
      </c>
      <c r="H404" s="9" t="str">
        <f>IF(OR(G404=G403,BITWISE_XOR(G403,G404)=VALUE("111")),"",LEFT(G404,2))</f>
        <v/>
      </c>
      <c r="I404" s="9" t="str">
        <f>IF(OR(G404=G403,BITWISE_XOR(G403,G404)=VALUE("111")),"",RIGHT(G404,1))</f>
        <v/>
      </c>
      <c r="J404" s="9" t="b">
        <f>BITWISE_XOR(BIN2DEC(G403),7)=BIN2DEC(G404)</f>
        <v>0</v>
      </c>
      <c r="K404" s="9">
        <f t="shared" si="45"/>
        <v>0</v>
      </c>
      <c r="L404" s="9" t="str">
        <f t="shared" si="46"/>
        <v/>
      </c>
      <c r="M404" s="15" t="str">
        <f t="shared" si="47"/>
        <v/>
      </c>
      <c r="N404" t="str">
        <f t="shared" si="43"/>
        <v/>
      </c>
    </row>
    <row r="405" spans="4:14" x14ac:dyDescent="0.25">
      <c r="D405">
        <v>4</v>
      </c>
      <c r="E405" t="str">
        <f t="shared" si="48"/>
        <v>100</v>
      </c>
      <c r="G405" s="14" t="str">
        <f t="shared" si="44"/>
        <v>100</v>
      </c>
      <c r="H405" s="9" t="str">
        <f>IF(OR(G405=G404,BITWISE_XOR(G404,G405)=VALUE("111")),"",LEFT(G405,2))</f>
        <v/>
      </c>
      <c r="I405" s="9" t="str">
        <f>IF(OR(G405=G404,BITWISE_XOR(G404,G405)=VALUE("111")),"",RIGHT(G405,1))</f>
        <v/>
      </c>
      <c r="J405" s="9" t="b">
        <f>BITWISE_XOR(BIN2DEC(G404),7)=BIN2DEC(G405)</f>
        <v>0</v>
      </c>
      <c r="K405" s="9">
        <f t="shared" si="45"/>
        <v>0</v>
      </c>
      <c r="L405" s="9" t="str">
        <f t="shared" si="46"/>
        <v/>
      </c>
      <c r="M405" s="15" t="str">
        <f t="shared" si="47"/>
        <v/>
      </c>
      <c r="N405" t="str">
        <f t="shared" si="43"/>
        <v/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Dev</vt:lpstr>
      <vt:lpstr>Tx</vt:lpstr>
      <vt:lpstr>Rx</vt:lpstr>
    </vt:vector>
  </TitlesOfParts>
  <Company>Thales UK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t0109428</dc:creator>
  <cp:lastModifiedBy>t0109428</cp:lastModifiedBy>
  <dcterms:created xsi:type="dcterms:W3CDTF">2016-12-22T10:42:16Z</dcterms:created>
  <dcterms:modified xsi:type="dcterms:W3CDTF">2016-12-23T11:19:54Z</dcterms:modified>
</cp:coreProperties>
</file>